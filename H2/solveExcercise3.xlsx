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walter\Desktop\Cesar\WISE2025ML\H2\"/>
    </mc:Choice>
  </mc:AlternateContent>
  <xr:revisionPtr revIDLastSave="0" documentId="13_ncr:1_{7FB591F9-8F1C-43E7-AD8D-0D939F7381DB}" xr6:coauthVersionLast="47" xr6:coauthVersionMax="47" xr10:uidLastSave="{00000000-0000-0000-0000-000000000000}"/>
  <bookViews>
    <workbookView xWindow="-120" yWindow="-120" windowWidth="29040" windowHeight="17520" activeTab="1" xr2:uid="{E575ADEB-230F-473E-948B-0B912F543B1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15" i="2" l="1"/>
  <c r="V115" i="2" s="1"/>
  <c r="V92" i="2"/>
  <c r="R107" i="2"/>
  <c r="R108" i="2" s="1"/>
  <c r="R109" i="2" s="1"/>
  <c r="Q107" i="2"/>
  <c r="Q108" i="2" s="1"/>
  <c r="Q109" i="2" s="1"/>
  <c r="Q106" i="2"/>
  <c r="R113" i="2"/>
  <c r="Q113" i="2"/>
  <c r="S112" i="2"/>
  <c r="T112" i="2" s="1"/>
  <c r="S111" i="2"/>
  <c r="T111" i="2" s="1"/>
  <c r="S110" i="2"/>
  <c r="T110" i="2" s="1"/>
  <c r="S109" i="2"/>
  <c r="T109" i="2" s="1"/>
  <c r="S108" i="2"/>
  <c r="T108" i="2" s="1"/>
  <c r="S107" i="2"/>
  <c r="T107" i="2" s="1"/>
  <c r="S106" i="2"/>
  <c r="T106" i="2" s="1"/>
  <c r="S105" i="2"/>
  <c r="T105" i="2" s="1"/>
  <c r="S104" i="2"/>
  <c r="T104" i="2" s="1"/>
  <c r="R104" i="2"/>
  <c r="R105" i="2" s="1"/>
  <c r="R106" i="2" s="1"/>
  <c r="Q104" i="2"/>
  <c r="Q105" i="2" s="1"/>
  <c r="S103" i="2"/>
  <c r="T103" i="2" s="1"/>
  <c r="R103" i="2"/>
  <c r="Q103" i="2"/>
  <c r="K92" i="2"/>
  <c r="U87" i="2"/>
  <c r="V87" i="2" s="1"/>
  <c r="U84" i="2"/>
  <c r="V84" i="2" s="1"/>
  <c r="K87" i="2"/>
  <c r="J87" i="2"/>
  <c r="J84" i="2"/>
  <c r="S63" i="2"/>
  <c r="S64" i="2"/>
  <c r="S65" i="2"/>
  <c r="S66" i="2"/>
  <c r="S67" i="2"/>
  <c r="S68" i="2"/>
  <c r="S69" i="2"/>
  <c r="S70" i="2"/>
  <c r="S71" i="2"/>
  <c r="S62" i="2"/>
  <c r="S79" i="2"/>
  <c r="S80" i="2"/>
  <c r="S81" i="2"/>
  <c r="S82" i="2"/>
  <c r="S83" i="2"/>
  <c r="S84" i="2"/>
  <c r="T84" i="2" s="1"/>
  <c r="S85" i="2"/>
  <c r="T85" i="2" s="1"/>
  <c r="S86" i="2"/>
  <c r="T86" i="2" s="1"/>
  <c r="S87" i="2"/>
  <c r="S78" i="2"/>
  <c r="T78" i="2" s="1"/>
  <c r="H79" i="2"/>
  <c r="H80" i="2"/>
  <c r="H81" i="2"/>
  <c r="H82" i="2"/>
  <c r="I82" i="2" s="1"/>
  <c r="H83" i="2"/>
  <c r="I83" i="2" s="1"/>
  <c r="H84" i="2"/>
  <c r="H85" i="2"/>
  <c r="I85" i="2" s="1"/>
  <c r="H86" i="2"/>
  <c r="I86" i="2" s="1"/>
  <c r="H87" i="2"/>
  <c r="H78" i="2"/>
  <c r="F89" i="2"/>
  <c r="Q89" i="2"/>
  <c r="R79" i="2"/>
  <c r="R80" i="2" s="1"/>
  <c r="R81" i="2" s="1"/>
  <c r="R78" i="2"/>
  <c r="Q78" i="2"/>
  <c r="Q79" i="2" s="1"/>
  <c r="Q80" i="2" s="1"/>
  <c r="Q81" i="2" s="1"/>
  <c r="G78" i="2"/>
  <c r="F78" i="2"/>
  <c r="F79" i="2" s="1"/>
  <c r="F80" i="2" s="1"/>
  <c r="F81" i="2" s="1"/>
  <c r="G79" i="2"/>
  <c r="G80" i="2" s="1"/>
  <c r="G81" i="2" s="1"/>
  <c r="R88" i="2"/>
  <c r="Q88" i="2"/>
  <c r="G88" i="2"/>
  <c r="F88" i="2"/>
  <c r="T87" i="2"/>
  <c r="I87" i="2"/>
  <c r="I84" i="2"/>
  <c r="T83" i="2"/>
  <c r="T82" i="2"/>
  <c r="T81" i="2"/>
  <c r="I81" i="2"/>
  <c r="T80" i="2"/>
  <c r="I80" i="2"/>
  <c r="T79" i="2"/>
  <c r="I79" i="2"/>
  <c r="I78" i="2"/>
  <c r="R66" i="2"/>
  <c r="Q66" i="2"/>
  <c r="Q73" i="2" s="1"/>
  <c r="R67" i="2"/>
  <c r="R68" i="2" s="1"/>
  <c r="Q67" i="2"/>
  <c r="Q68" i="2" s="1"/>
  <c r="R72" i="2"/>
  <c r="Q72" i="2"/>
  <c r="H67" i="2"/>
  <c r="I67" i="2" s="1"/>
  <c r="F73" i="2"/>
  <c r="T63" i="2" s="1"/>
  <c r="G66" i="2"/>
  <c r="G67" i="2" s="1"/>
  <c r="G68" i="2" s="1"/>
  <c r="G72" i="2" s="1"/>
  <c r="F66" i="2"/>
  <c r="F67" i="2" s="1"/>
  <c r="F68" i="2" s="1"/>
  <c r="F72" i="2" s="1"/>
  <c r="Q114" i="2" l="1"/>
  <c r="J98" i="2"/>
  <c r="K98" i="2" s="1"/>
  <c r="K84" i="2"/>
  <c r="T68" i="2"/>
  <c r="T69" i="2"/>
  <c r="H65" i="2"/>
  <c r="I65" i="2" s="1"/>
  <c r="H64" i="2"/>
  <c r="I64" i="2" s="1"/>
  <c r="T67" i="2"/>
  <c r="H66" i="2"/>
  <c r="I66" i="2" s="1"/>
  <c r="T66" i="2"/>
  <c r="H70" i="2"/>
  <c r="I70" i="2" s="1"/>
  <c r="H62" i="2"/>
  <c r="I62" i="2" s="1"/>
  <c r="T65" i="2"/>
  <c r="H69" i="2"/>
  <c r="I69" i="2" s="1"/>
  <c r="T62" i="2"/>
  <c r="U65" i="2" s="1"/>
  <c r="V65" i="2" s="1"/>
  <c r="T64" i="2"/>
  <c r="T70" i="2"/>
  <c r="H71" i="2"/>
  <c r="I71" i="2" s="1"/>
  <c r="H63" i="2"/>
  <c r="I63" i="2" s="1"/>
  <c r="H68" i="2"/>
  <c r="I68" i="2" s="1"/>
  <c r="T71" i="2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I41" i="2"/>
  <c r="H41" i="2"/>
  <c r="H40" i="2"/>
  <c r="I40" i="2" s="1"/>
  <c r="I39" i="2"/>
  <c r="H39" i="2"/>
  <c r="H38" i="2"/>
  <c r="I38" i="2" s="1"/>
  <c r="G38" i="2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F38" i="2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I30" i="2"/>
  <c r="H30" i="2"/>
  <c r="H31" i="2"/>
  <c r="I31" i="2" s="1"/>
  <c r="H32" i="2"/>
  <c r="I32" i="2" s="1"/>
  <c r="G23" i="2"/>
  <c r="G24" i="2" s="1"/>
  <c r="G25" i="2" s="1"/>
  <c r="G26" i="2" s="1"/>
  <c r="G27" i="2" s="1"/>
  <c r="G28" i="2" s="1"/>
  <c r="G29" i="2" s="1"/>
  <c r="G33" i="2" s="1"/>
  <c r="F23" i="2"/>
  <c r="F24" i="2" s="1"/>
  <c r="F25" i="2" s="1"/>
  <c r="F26" i="2" s="1"/>
  <c r="F27" i="2" s="1"/>
  <c r="F28" i="2" s="1"/>
  <c r="F29" i="2" s="1"/>
  <c r="F33" i="2" s="1"/>
  <c r="I8" i="2"/>
  <c r="I9" i="2"/>
  <c r="I13" i="2"/>
  <c r="I14" i="2"/>
  <c r="I16" i="2"/>
  <c r="I7" i="2"/>
  <c r="H8" i="2"/>
  <c r="H9" i="2"/>
  <c r="H10" i="2"/>
  <c r="I10" i="2" s="1"/>
  <c r="H11" i="2"/>
  <c r="I11" i="2" s="1"/>
  <c r="H12" i="2"/>
  <c r="I12" i="2" s="1"/>
  <c r="H13" i="2"/>
  <c r="H14" i="2"/>
  <c r="H15" i="2"/>
  <c r="I15" i="2" s="1"/>
  <c r="H16" i="2"/>
  <c r="H7" i="2"/>
  <c r="G8" i="2"/>
  <c r="G9" i="2" s="1"/>
  <c r="G10" i="2" s="1"/>
  <c r="G11" i="2" s="1"/>
  <c r="G12" i="2" s="1"/>
  <c r="G13" i="2" s="1"/>
  <c r="G14" i="2" s="1"/>
  <c r="G15" i="2" s="1"/>
  <c r="G16" i="2" s="1"/>
  <c r="G17" i="2" s="1"/>
  <c r="G7" i="2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H16" i="1"/>
  <c r="G16" i="1"/>
  <c r="H15" i="1"/>
  <c r="G15" i="1"/>
  <c r="G11" i="1"/>
  <c r="G10" i="1"/>
  <c r="I17" i="2" l="1"/>
  <c r="J71" i="2"/>
  <c r="K71" i="2" s="1"/>
  <c r="I48" i="2"/>
  <c r="U71" i="2"/>
  <c r="V71" i="2" s="1"/>
  <c r="J65" i="2"/>
  <c r="K65" i="2" s="1"/>
  <c r="I33" i="2"/>
  <c r="H11" i="1"/>
  <c r="H10" i="1"/>
</calcChain>
</file>

<file path=xl/sharedStrings.xml><?xml version="1.0" encoding="utf-8"?>
<sst xmlns="http://schemas.openxmlformats.org/spreadsheetml/2006/main" count="177" uniqueCount="24">
  <si>
    <t>y+</t>
  </si>
  <si>
    <t>y-</t>
  </si>
  <si>
    <t>x1</t>
  </si>
  <si>
    <t>x2</t>
  </si>
  <si>
    <t>c</t>
  </si>
  <si>
    <t>w</t>
  </si>
  <si>
    <t>x3</t>
  </si>
  <si>
    <t>x4</t>
  </si>
  <si>
    <t>x5</t>
  </si>
  <si>
    <t>x6</t>
  </si>
  <si>
    <t>x7</t>
  </si>
  <si>
    <t>x8</t>
  </si>
  <si>
    <t>x9</t>
  </si>
  <si>
    <t>x10</t>
  </si>
  <si>
    <t>sum</t>
  </si>
  <si>
    <t>wx</t>
  </si>
  <si>
    <t>parametro 1</t>
  </si>
  <si>
    <t>error</t>
  </si>
  <si>
    <t>parametro 2</t>
  </si>
  <si>
    <t>test</t>
  </si>
  <si>
    <t>val</t>
  </si>
  <si>
    <t>train</t>
  </si>
  <si>
    <t>error val</t>
  </si>
  <si>
    <t>error tesst holdout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</si>
</sst>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4AC9-E20B-42B2-BF3E-415272A201C3}">
  <dimension ref="D9:I16"/>
  <sheetViews>
    <sheetView workbookViewId="0">
      <selection activeCell="I17" sqref="I17"/>
    </sheetView>
  </sheetViews>
  <sheetFormatPr defaultRowHeight="15" x14ac:dyDescent="0.25"/>
  <cols>
    <col min="4" max="9" width="9.140625" style="1"/>
  </cols>
  <sheetData>
    <row r="9" spans="4:9" x14ac:dyDescent="0.25">
      <c r="D9" s="1" t="s">
        <v>2</v>
      </c>
      <c r="E9" s="1" t="s">
        <v>3</v>
      </c>
      <c r="F9" s="1" t="s">
        <v>4</v>
      </c>
      <c r="G9" s="1" t="s">
        <v>0</v>
      </c>
      <c r="H9" s="1" t="s">
        <v>1</v>
      </c>
      <c r="I9" s="1" t="s">
        <v>5</v>
      </c>
    </row>
    <row r="10" spans="4:9" x14ac:dyDescent="0.25">
      <c r="D10" s="1">
        <v>1</v>
      </c>
      <c r="E10" s="1">
        <v>-1</v>
      </c>
      <c r="F10" s="1">
        <v>1</v>
      </c>
      <c r="G10" s="1">
        <f>+IF(D10=F10,0,1)</f>
        <v>0</v>
      </c>
      <c r="H10" s="1">
        <f>+IF(D10=G10,0,1)</f>
        <v>1</v>
      </c>
    </row>
    <row r="11" spans="4:9" x14ac:dyDescent="0.25">
      <c r="D11" s="1">
        <v>-1</v>
      </c>
      <c r="E11" s="1">
        <v>1</v>
      </c>
      <c r="F11" s="1">
        <v>-1</v>
      </c>
      <c r="G11" s="1">
        <f>+IF(D11=F11,0,1)+G10</f>
        <v>0</v>
      </c>
      <c r="H11" s="1">
        <f>+IF(D11=G11,0,1)+H10</f>
        <v>2</v>
      </c>
      <c r="I11" s="1">
        <v>1</v>
      </c>
    </row>
    <row r="14" spans="4:9" x14ac:dyDescent="0.25">
      <c r="D14" s="1" t="s">
        <v>2</v>
      </c>
      <c r="E14" s="1" t="s">
        <v>3</v>
      </c>
      <c r="F14" s="1" t="s">
        <v>4</v>
      </c>
      <c r="G14" s="1" t="s">
        <v>0</v>
      </c>
      <c r="H14" s="1" t="s">
        <v>1</v>
      </c>
      <c r="I14" s="1" t="s">
        <v>5</v>
      </c>
    </row>
    <row r="15" spans="4:9" x14ac:dyDescent="0.25">
      <c r="D15" s="1">
        <v>1</v>
      </c>
      <c r="E15" s="1">
        <v>-1</v>
      </c>
      <c r="F15" s="1">
        <v>1</v>
      </c>
      <c r="G15" s="1">
        <f>+IF(E15=F15,0,1)</f>
        <v>1</v>
      </c>
      <c r="H15" s="1">
        <f>+IF(-E15=G15,0,1)</f>
        <v>0</v>
      </c>
    </row>
    <row r="16" spans="4:9" x14ac:dyDescent="0.25">
      <c r="D16" s="1">
        <v>-1</v>
      </c>
      <c r="E16" s="1">
        <v>1</v>
      </c>
      <c r="F16" s="1">
        <v>-1</v>
      </c>
      <c r="G16" s="1">
        <f>+IF(E16=F16,0,1)+G15</f>
        <v>2</v>
      </c>
      <c r="H16" s="1">
        <f>+IF(-E16=G16,0,1)+H15</f>
        <v>1</v>
      </c>
      <c r="I16" s="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D122-4F6C-49C5-9796-1A0A1F2E6502}">
  <dimension ref="A6:V115"/>
  <sheetViews>
    <sheetView tabSelected="1" topLeftCell="A70" workbookViewId="0">
      <selection activeCell="U116" sqref="U116"/>
    </sheetView>
  </sheetViews>
  <sheetFormatPr defaultRowHeight="15" x14ac:dyDescent="0.25"/>
  <sheetData>
    <row r="6" spans="2:9" x14ac:dyDescent="0.25">
      <c r="B6" s="1"/>
      <c r="C6" s="1" t="s">
        <v>2</v>
      </c>
      <c r="D6" s="1" t="s">
        <v>3</v>
      </c>
      <c r="E6" s="1" t="s">
        <v>4</v>
      </c>
      <c r="F6" s="1" t="s">
        <v>0</v>
      </c>
      <c r="G6" s="1" t="s">
        <v>1</v>
      </c>
      <c r="H6" s="1" t="s">
        <v>15</v>
      </c>
    </row>
    <row r="7" spans="2:9" x14ac:dyDescent="0.25">
      <c r="B7" s="1" t="s">
        <v>2</v>
      </c>
      <c r="C7" s="1">
        <v>1</v>
      </c>
      <c r="D7" s="1">
        <v>1</v>
      </c>
      <c r="E7" s="1">
        <v>1</v>
      </c>
      <c r="F7">
        <f>+IF(C7=E7,0,1)</f>
        <v>0</v>
      </c>
      <c r="G7">
        <f>+IF(-C7=E7,0,1)</f>
        <v>1</v>
      </c>
      <c r="H7">
        <f>1*C7</f>
        <v>1</v>
      </c>
      <c r="I7">
        <f>+IF(H7=E7,1,0)</f>
        <v>1</v>
      </c>
    </row>
    <row r="8" spans="2:9" x14ac:dyDescent="0.25">
      <c r="B8" s="1" t="s">
        <v>3</v>
      </c>
      <c r="C8" s="1">
        <v>-1</v>
      </c>
      <c r="D8" s="1">
        <v>1</v>
      </c>
      <c r="E8" s="1">
        <v>-1</v>
      </c>
      <c r="F8">
        <f>+IF(C8=E8,0,1)+F7</f>
        <v>0</v>
      </c>
      <c r="G8">
        <f>+IF(-C8=E8,0,1)+G7</f>
        <v>2</v>
      </c>
      <c r="H8">
        <f t="shared" ref="H8:H16" si="0">1*C8</f>
        <v>-1</v>
      </c>
      <c r="I8">
        <f t="shared" ref="I8:I16" si="1">+IF(H8=E8,1,0)</f>
        <v>1</v>
      </c>
    </row>
    <row r="9" spans="2:9" x14ac:dyDescent="0.25">
      <c r="B9" s="1" t="s">
        <v>6</v>
      </c>
      <c r="C9" s="1">
        <v>1</v>
      </c>
      <c r="D9" s="1">
        <v>1</v>
      </c>
      <c r="E9" s="1">
        <v>-1</v>
      </c>
      <c r="F9">
        <f t="shared" ref="F9:F16" si="2">+IF(C9=E9,0,1)+F8</f>
        <v>1</v>
      </c>
      <c r="G9">
        <f t="shared" ref="G9:G16" si="3">+IF(-C9=E9,0,1)+G8</f>
        <v>2</v>
      </c>
      <c r="H9">
        <f t="shared" si="0"/>
        <v>1</v>
      </c>
      <c r="I9">
        <f t="shared" si="1"/>
        <v>0</v>
      </c>
    </row>
    <row r="10" spans="2:9" x14ac:dyDescent="0.25">
      <c r="B10" s="1" t="s">
        <v>7</v>
      </c>
      <c r="C10" s="1">
        <v>1</v>
      </c>
      <c r="D10" s="1">
        <v>1</v>
      </c>
      <c r="E10" s="1">
        <v>1</v>
      </c>
      <c r="F10">
        <f t="shared" si="2"/>
        <v>1</v>
      </c>
      <c r="G10">
        <f t="shared" si="3"/>
        <v>3</v>
      </c>
      <c r="H10">
        <f t="shared" si="0"/>
        <v>1</v>
      </c>
      <c r="I10">
        <f t="shared" si="1"/>
        <v>1</v>
      </c>
    </row>
    <row r="11" spans="2:9" x14ac:dyDescent="0.25">
      <c r="B11" s="1" t="s">
        <v>8</v>
      </c>
      <c r="C11" s="1">
        <v>1</v>
      </c>
      <c r="D11" s="1">
        <v>1</v>
      </c>
      <c r="E11" s="1">
        <v>-1</v>
      </c>
      <c r="F11">
        <f t="shared" si="2"/>
        <v>2</v>
      </c>
      <c r="G11">
        <f t="shared" si="3"/>
        <v>3</v>
      </c>
      <c r="H11">
        <f t="shared" si="0"/>
        <v>1</v>
      </c>
      <c r="I11">
        <f t="shared" si="1"/>
        <v>0</v>
      </c>
    </row>
    <row r="12" spans="2:9" x14ac:dyDescent="0.25">
      <c r="B12" s="1" t="s">
        <v>9</v>
      </c>
      <c r="C12" s="1">
        <v>-1</v>
      </c>
      <c r="D12" s="1">
        <v>1</v>
      </c>
      <c r="E12" s="1">
        <v>1</v>
      </c>
      <c r="F12">
        <f t="shared" si="2"/>
        <v>3</v>
      </c>
      <c r="G12">
        <f t="shared" si="3"/>
        <v>3</v>
      </c>
      <c r="H12">
        <f t="shared" si="0"/>
        <v>-1</v>
      </c>
      <c r="I12">
        <f t="shared" si="1"/>
        <v>0</v>
      </c>
    </row>
    <row r="13" spans="2:9" x14ac:dyDescent="0.25">
      <c r="B13" s="1" t="s">
        <v>10</v>
      </c>
      <c r="C13" s="1">
        <v>1</v>
      </c>
      <c r="D13" s="1">
        <v>1</v>
      </c>
      <c r="E13" s="1">
        <v>-1</v>
      </c>
      <c r="F13">
        <f t="shared" si="2"/>
        <v>4</v>
      </c>
      <c r="G13">
        <f t="shared" si="3"/>
        <v>3</v>
      </c>
      <c r="H13">
        <f t="shared" si="0"/>
        <v>1</v>
      </c>
      <c r="I13">
        <f t="shared" si="1"/>
        <v>0</v>
      </c>
    </row>
    <row r="14" spans="2:9" x14ac:dyDescent="0.25">
      <c r="B14" s="1" t="s">
        <v>11</v>
      </c>
      <c r="C14" s="1">
        <v>-1</v>
      </c>
      <c r="D14" s="1">
        <v>-1</v>
      </c>
      <c r="E14" s="1">
        <v>-1</v>
      </c>
      <c r="F14">
        <f t="shared" si="2"/>
        <v>4</v>
      </c>
      <c r="G14">
        <f t="shared" si="3"/>
        <v>4</v>
      </c>
      <c r="H14">
        <f t="shared" si="0"/>
        <v>-1</v>
      </c>
      <c r="I14">
        <f t="shared" si="1"/>
        <v>1</v>
      </c>
    </row>
    <row r="15" spans="2:9" x14ac:dyDescent="0.25">
      <c r="B15" s="1" t="s">
        <v>12</v>
      </c>
      <c r="C15" s="1">
        <v>1</v>
      </c>
      <c r="D15" s="1">
        <v>1</v>
      </c>
      <c r="E15" s="1">
        <v>1</v>
      </c>
      <c r="F15">
        <f t="shared" si="2"/>
        <v>4</v>
      </c>
      <c r="G15">
        <f t="shared" si="3"/>
        <v>5</v>
      </c>
      <c r="H15">
        <f t="shared" si="0"/>
        <v>1</v>
      </c>
      <c r="I15">
        <f t="shared" si="1"/>
        <v>1</v>
      </c>
    </row>
    <row r="16" spans="2:9" x14ac:dyDescent="0.25">
      <c r="B16" s="1" t="s">
        <v>13</v>
      </c>
      <c r="C16" s="1">
        <v>1</v>
      </c>
      <c r="D16" s="1">
        <v>-1</v>
      </c>
      <c r="E16" s="1">
        <v>1</v>
      </c>
      <c r="F16">
        <f t="shared" si="2"/>
        <v>4</v>
      </c>
      <c r="G16">
        <f t="shared" si="3"/>
        <v>6</v>
      </c>
      <c r="H16">
        <f t="shared" si="0"/>
        <v>1</v>
      </c>
      <c r="I16">
        <f t="shared" si="1"/>
        <v>1</v>
      </c>
    </row>
    <row r="17" spans="2:9" x14ac:dyDescent="0.25">
      <c r="E17" t="s">
        <v>14</v>
      </c>
      <c r="F17">
        <f>+F16</f>
        <v>4</v>
      </c>
      <c r="G17">
        <f>+G16</f>
        <v>6</v>
      </c>
      <c r="I17">
        <f>+SUM(I7:I16)/COUNT(I7:I16)</f>
        <v>0.6</v>
      </c>
    </row>
    <row r="18" spans="2:9" x14ac:dyDescent="0.25">
      <c r="E18" t="s">
        <v>5</v>
      </c>
      <c r="F18">
        <v>1</v>
      </c>
    </row>
    <row r="22" spans="2:9" x14ac:dyDescent="0.25">
      <c r="B22" s="1"/>
      <c r="C22" s="1" t="s">
        <v>2</v>
      </c>
      <c r="D22" s="1" t="s">
        <v>3</v>
      </c>
      <c r="E22" s="1" t="s">
        <v>4</v>
      </c>
      <c r="F22" s="1" t="s">
        <v>0</v>
      </c>
      <c r="G22" s="1" t="s">
        <v>1</v>
      </c>
      <c r="H22" s="1" t="s">
        <v>15</v>
      </c>
    </row>
    <row r="23" spans="2:9" x14ac:dyDescent="0.25">
      <c r="B23" s="1" t="s">
        <v>2</v>
      </c>
      <c r="C23" s="1">
        <v>1</v>
      </c>
      <c r="D23" s="1">
        <v>1</v>
      </c>
      <c r="E23" s="1">
        <v>1</v>
      </c>
      <c r="F23">
        <f>+IF(C23=E23,0,1)</f>
        <v>0</v>
      </c>
      <c r="G23">
        <f>+IF(-C23=E23,0,1)</f>
        <v>1</v>
      </c>
    </row>
    <row r="24" spans="2:9" x14ac:dyDescent="0.25">
      <c r="B24" s="1" t="s">
        <v>3</v>
      </c>
      <c r="C24" s="1">
        <v>-1</v>
      </c>
      <c r="D24" s="1">
        <v>1</v>
      </c>
      <c r="E24" s="1">
        <v>-1</v>
      </c>
      <c r="F24">
        <f>+IF(C24=E24,0,1)+F23</f>
        <v>0</v>
      </c>
      <c r="G24">
        <f>+IF(-C24=E24,0,1)+G23</f>
        <v>2</v>
      </c>
    </row>
    <row r="25" spans="2:9" x14ac:dyDescent="0.25">
      <c r="B25" s="1" t="s">
        <v>6</v>
      </c>
      <c r="C25" s="1">
        <v>1</v>
      </c>
      <c r="D25" s="1">
        <v>1</v>
      </c>
      <c r="E25" s="1">
        <v>-1</v>
      </c>
      <c r="F25">
        <f t="shared" ref="F25:F29" si="4">+IF(C25=E25,0,1)+F24</f>
        <v>1</v>
      </c>
      <c r="G25">
        <f t="shared" ref="G25:G29" si="5">+IF(-C25=E25,0,1)+G24</f>
        <v>2</v>
      </c>
    </row>
    <row r="26" spans="2:9" x14ac:dyDescent="0.25">
      <c r="B26" s="1" t="s">
        <v>7</v>
      </c>
      <c r="C26" s="1">
        <v>1</v>
      </c>
      <c r="D26" s="1">
        <v>1</v>
      </c>
      <c r="E26" s="1">
        <v>1</v>
      </c>
      <c r="F26">
        <f t="shared" si="4"/>
        <v>1</v>
      </c>
      <c r="G26">
        <f t="shared" si="5"/>
        <v>3</v>
      </c>
    </row>
    <row r="27" spans="2:9" x14ac:dyDescent="0.25">
      <c r="B27" s="1" t="s">
        <v>8</v>
      </c>
      <c r="C27" s="1">
        <v>1</v>
      </c>
      <c r="D27" s="1">
        <v>1</v>
      </c>
      <c r="E27" s="1">
        <v>-1</v>
      </c>
      <c r="F27">
        <f t="shared" si="4"/>
        <v>2</v>
      </c>
      <c r="G27">
        <f t="shared" si="5"/>
        <v>3</v>
      </c>
    </row>
    <row r="28" spans="2:9" x14ac:dyDescent="0.25">
      <c r="B28" s="1" t="s">
        <v>9</v>
      </c>
      <c r="C28" s="1">
        <v>-1</v>
      </c>
      <c r="D28" s="1">
        <v>1</v>
      </c>
      <c r="E28" s="1">
        <v>1</v>
      </c>
      <c r="F28">
        <f t="shared" si="4"/>
        <v>3</v>
      </c>
      <c r="G28">
        <f t="shared" si="5"/>
        <v>3</v>
      </c>
    </row>
    <row r="29" spans="2:9" x14ac:dyDescent="0.25">
      <c r="B29" s="1" t="s">
        <v>10</v>
      </c>
      <c r="C29" s="1">
        <v>1</v>
      </c>
      <c r="D29" s="1">
        <v>1</v>
      </c>
      <c r="E29" s="1">
        <v>-1</v>
      </c>
      <c r="F29">
        <f t="shared" si="4"/>
        <v>4</v>
      </c>
      <c r="G29">
        <f t="shared" si="5"/>
        <v>3</v>
      </c>
    </row>
    <row r="30" spans="2:9" x14ac:dyDescent="0.25">
      <c r="B30" s="1" t="s">
        <v>11</v>
      </c>
      <c r="C30" s="1">
        <v>-1</v>
      </c>
      <c r="D30" s="1">
        <v>-1</v>
      </c>
      <c r="E30" s="1">
        <v>-1</v>
      </c>
      <c r="H30">
        <f t="shared" ref="H30:H32" si="6">+-1*C30</f>
        <v>1</v>
      </c>
      <c r="I30">
        <f>+IF(H30=E30,1,0)</f>
        <v>0</v>
      </c>
    </row>
    <row r="31" spans="2:9" x14ac:dyDescent="0.25">
      <c r="B31" s="1" t="s">
        <v>12</v>
      </c>
      <c r="C31" s="1">
        <v>1</v>
      </c>
      <c r="D31" s="1">
        <v>1</v>
      </c>
      <c r="E31" s="1">
        <v>1</v>
      </c>
      <c r="H31">
        <f t="shared" si="6"/>
        <v>-1</v>
      </c>
      <c r="I31">
        <f t="shared" ref="I31:I32" si="7">+IF(H31=E31,1,0)</f>
        <v>0</v>
      </c>
    </row>
    <row r="32" spans="2:9" x14ac:dyDescent="0.25">
      <c r="B32" s="1" t="s">
        <v>13</v>
      </c>
      <c r="C32" s="1">
        <v>1</v>
      </c>
      <c r="D32" s="1">
        <v>-1</v>
      </c>
      <c r="E32" s="1">
        <v>1</v>
      </c>
      <c r="H32">
        <f t="shared" si="6"/>
        <v>-1</v>
      </c>
      <c r="I32">
        <f t="shared" si="7"/>
        <v>0</v>
      </c>
    </row>
    <row r="33" spans="2:9" x14ac:dyDescent="0.25">
      <c r="E33" t="s">
        <v>14</v>
      </c>
      <c r="F33">
        <f>+F32</f>
        <v>0</v>
      </c>
      <c r="G33">
        <f>+G32</f>
        <v>0</v>
      </c>
      <c r="I33">
        <f>+SUM(I23:I32)/COUNT(I23:I32)</f>
        <v>0</v>
      </c>
    </row>
    <row r="34" spans="2:9" x14ac:dyDescent="0.25">
      <c r="E34" t="s">
        <v>5</v>
      </c>
      <c r="F34">
        <v>1</v>
      </c>
    </row>
    <row r="37" spans="2:9" x14ac:dyDescent="0.25">
      <c r="B37" s="1"/>
      <c r="C37" s="1" t="s">
        <v>2</v>
      </c>
      <c r="D37" s="1" t="s">
        <v>3</v>
      </c>
      <c r="E37" s="1" t="s">
        <v>4</v>
      </c>
      <c r="F37" s="1" t="s">
        <v>0</v>
      </c>
      <c r="G37" s="1" t="s">
        <v>1</v>
      </c>
      <c r="H37" s="1" t="s">
        <v>15</v>
      </c>
    </row>
    <row r="38" spans="2:9" x14ac:dyDescent="0.25">
      <c r="B38" s="1" t="s">
        <v>2</v>
      </c>
      <c r="C38" s="1">
        <v>1</v>
      </c>
      <c r="D38" s="1">
        <v>1</v>
      </c>
      <c r="E38" s="1">
        <v>1</v>
      </c>
      <c r="F38">
        <f>+IF(C38=E38,0,1)</f>
        <v>0</v>
      </c>
      <c r="G38">
        <f>+IF(-C38=E38,0,1)</f>
        <v>1</v>
      </c>
      <c r="H38">
        <f>1*C38</f>
        <v>1</v>
      </c>
      <c r="I38">
        <f>+IF(H38=E38,1,0)</f>
        <v>1</v>
      </c>
    </row>
    <row r="39" spans="2:9" x14ac:dyDescent="0.25">
      <c r="B39" s="1" t="s">
        <v>3</v>
      </c>
      <c r="C39" s="1">
        <v>-1</v>
      </c>
      <c r="D39" s="1">
        <v>1</v>
      </c>
      <c r="E39" s="1">
        <v>-1</v>
      </c>
      <c r="F39">
        <f>+IF(C39=E39,0,1)+F38</f>
        <v>0</v>
      </c>
      <c r="G39">
        <f>+IF(-C39=E39,0,1)+G38</f>
        <v>2</v>
      </c>
      <c r="H39">
        <f t="shared" ref="H39:H47" si="8">1*C39</f>
        <v>-1</v>
      </c>
      <c r="I39">
        <f t="shared" ref="I39:I47" si="9">+IF(H39=E39,1,0)</f>
        <v>1</v>
      </c>
    </row>
    <row r="40" spans="2:9" x14ac:dyDescent="0.25">
      <c r="B40" s="1" t="s">
        <v>6</v>
      </c>
      <c r="C40" s="1">
        <v>1</v>
      </c>
      <c r="D40" s="1">
        <v>1</v>
      </c>
      <c r="E40" s="1">
        <v>-1</v>
      </c>
      <c r="F40">
        <f t="shared" ref="F40:F47" si="10">+IF(C40=E40,0,1)+F39</f>
        <v>1</v>
      </c>
      <c r="G40">
        <f t="shared" ref="G40:G47" si="11">+IF(-C40=E40,0,1)+G39</f>
        <v>2</v>
      </c>
      <c r="H40">
        <f t="shared" si="8"/>
        <v>1</v>
      </c>
      <c r="I40">
        <f t="shared" si="9"/>
        <v>0</v>
      </c>
    </row>
    <row r="41" spans="2:9" x14ac:dyDescent="0.25">
      <c r="B41" s="1" t="s">
        <v>7</v>
      </c>
      <c r="C41" s="1">
        <v>1</v>
      </c>
      <c r="D41" s="1">
        <v>1</v>
      </c>
      <c r="E41" s="1">
        <v>1</v>
      </c>
      <c r="F41">
        <f t="shared" si="10"/>
        <v>1</v>
      </c>
      <c r="G41">
        <f t="shared" si="11"/>
        <v>3</v>
      </c>
      <c r="H41">
        <f t="shared" si="8"/>
        <v>1</v>
      </c>
      <c r="I41">
        <f t="shared" si="9"/>
        <v>1</v>
      </c>
    </row>
    <row r="42" spans="2:9" x14ac:dyDescent="0.25">
      <c r="B42" s="1" t="s">
        <v>8</v>
      </c>
      <c r="C42" s="1">
        <v>1</v>
      </c>
      <c r="D42" s="1">
        <v>1</v>
      </c>
      <c r="E42" s="1">
        <v>-1</v>
      </c>
      <c r="F42">
        <f t="shared" si="10"/>
        <v>2</v>
      </c>
      <c r="G42">
        <f t="shared" si="11"/>
        <v>3</v>
      </c>
      <c r="H42">
        <f t="shared" si="8"/>
        <v>1</v>
      </c>
      <c r="I42">
        <f t="shared" si="9"/>
        <v>0</v>
      </c>
    </row>
    <row r="43" spans="2:9" x14ac:dyDescent="0.25">
      <c r="B43" s="1" t="s">
        <v>9</v>
      </c>
      <c r="C43" s="1">
        <v>-1</v>
      </c>
      <c r="D43" s="1">
        <v>1</v>
      </c>
      <c r="E43" s="1">
        <v>1</v>
      </c>
      <c r="F43">
        <f t="shared" si="10"/>
        <v>3</v>
      </c>
      <c r="G43">
        <f t="shared" si="11"/>
        <v>3</v>
      </c>
      <c r="H43">
        <f t="shared" si="8"/>
        <v>-1</v>
      </c>
      <c r="I43">
        <f t="shared" si="9"/>
        <v>0</v>
      </c>
    </row>
    <row r="44" spans="2:9" x14ac:dyDescent="0.25">
      <c r="B44" s="1" t="s">
        <v>10</v>
      </c>
      <c r="C44" s="1">
        <v>1</v>
      </c>
      <c r="D44" s="1">
        <v>1</v>
      </c>
      <c r="E44" s="1">
        <v>-1</v>
      </c>
      <c r="F44">
        <f t="shared" si="10"/>
        <v>4</v>
      </c>
      <c r="G44">
        <f t="shared" si="11"/>
        <v>3</v>
      </c>
      <c r="H44">
        <f t="shared" si="8"/>
        <v>1</v>
      </c>
      <c r="I44">
        <f t="shared" si="9"/>
        <v>0</v>
      </c>
    </row>
    <row r="45" spans="2:9" x14ac:dyDescent="0.25">
      <c r="B45" s="1" t="s">
        <v>11</v>
      </c>
      <c r="C45" s="1">
        <v>-1</v>
      </c>
      <c r="D45" s="1">
        <v>-1</v>
      </c>
      <c r="E45" s="1">
        <v>-1</v>
      </c>
      <c r="F45">
        <f t="shared" si="10"/>
        <v>4</v>
      </c>
      <c r="G45">
        <f t="shared" si="11"/>
        <v>4</v>
      </c>
      <c r="H45">
        <f t="shared" si="8"/>
        <v>-1</v>
      </c>
      <c r="I45">
        <f t="shared" si="9"/>
        <v>1</v>
      </c>
    </row>
    <row r="46" spans="2:9" x14ac:dyDescent="0.25">
      <c r="B46" s="1" t="s">
        <v>12</v>
      </c>
      <c r="C46" s="1">
        <v>1</v>
      </c>
      <c r="D46" s="1">
        <v>1</v>
      </c>
      <c r="E46" s="1">
        <v>1</v>
      </c>
      <c r="F46">
        <f t="shared" si="10"/>
        <v>4</v>
      </c>
      <c r="G46">
        <f t="shared" si="11"/>
        <v>5</v>
      </c>
      <c r="H46">
        <f t="shared" si="8"/>
        <v>1</v>
      </c>
      <c r="I46">
        <f t="shared" si="9"/>
        <v>1</v>
      </c>
    </row>
    <row r="47" spans="2:9" x14ac:dyDescent="0.25">
      <c r="B47" s="1" t="s">
        <v>13</v>
      </c>
      <c r="C47" s="1">
        <v>1</v>
      </c>
      <c r="D47" s="1">
        <v>-1</v>
      </c>
      <c r="E47" s="1">
        <v>1</v>
      </c>
      <c r="F47">
        <f t="shared" si="10"/>
        <v>4</v>
      </c>
      <c r="G47">
        <f t="shared" si="11"/>
        <v>6</v>
      </c>
      <c r="H47">
        <f t="shared" si="8"/>
        <v>1</v>
      </c>
      <c r="I47">
        <f t="shared" si="9"/>
        <v>1</v>
      </c>
    </row>
    <row r="48" spans="2:9" x14ac:dyDescent="0.25">
      <c r="E48" t="s">
        <v>14</v>
      </c>
      <c r="F48">
        <f>+F47</f>
        <v>4</v>
      </c>
      <c r="G48">
        <f>+G47</f>
        <v>6</v>
      </c>
      <c r="I48">
        <f>+SUM(I38:I47)/COUNT(I38:I47)</f>
        <v>0.6</v>
      </c>
    </row>
    <row r="49" spans="1:22" x14ac:dyDescent="0.25">
      <c r="E49" t="s">
        <v>5</v>
      </c>
      <c r="F49">
        <v>1</v>
      </c>
    </row>
    <row r="60" spans="1:22" x14ac:dyDescent="0.25">
      <c r="C60" t="s">
        <v>16</v>
      </c>
      <c r="N60" t="s">
        <v>18</v>
      </c>
    </row>
    <row r="61" spans="1:22" x14ac:dyDescent="0.25">
      <c r="B61" s="1"/>
      <c r="C61" s="1" t="s">
        <v>2</v>
      </c>
      <c r="D61" s="1" t="s">
        <v>3</v>
      </c>
      <c r="E61" s="1" t="s">
        <v>4</v>
      </c>
      <c r="F61" s="1" t="s">
        <v>0</v>
      </c>
      <c r="G61" s="1" t="s">
        <v>1</v>
      </c>
      <c r="H61" s="1" t="s">
        <v>15</v>
      </c>
      <c r="M61" s="1"/>
      <c r="N61" s="1" t="s">
        <v>2</v>
      </c>
      <c r="O61" s="1" t="s">
        <v>3</v>
      </c>
      <c r="P61" s="1" t="s">
        <v>4</v>
      </c>
      <c r="Q61" s="1" t="s">
        <v>0</v>
      </c>
      <c r="R61" s="1" t="s">
        <v>1</v>
      </c>
      <c r="S61" s="1" t="s">
        <v>15</v>
      </c>
    </row>
    <row r="62" spans="1:22" x14ac:dyDescent="0.25">
      <c r="B62" s="3" t="s">
        <v>2</v>
      </c>
      <c r="C62" s="3">
        <v>1</v>
      </c>
      <c r="D62" s="3">
        <v>1</v>
      </c>
      <c r="E62" s="3">
        <v>1</v>
      </c>
      <c r="H62">
        <f>+$F$73*C62</f>
        <v>-1</v>
      </c>
      <c r="I62">
        <f>+IF(H62=E62,1,0)</f>
        <v>0</v>
      </c>
      <c r="M62" s="3" t="s">
        <v>2</v>
      </c>
      <c r="N62" s="3">
        <v>1</v>
      </c>
      <c r="O62" s="3">
        <v>1</v>
      </c>
      <c r="P62" s="3">
        <v>1</v>
      </c>
      <c r="S62">
        <f>+$Q$73*O62</f>
        <v>-1</v>
      </c>
      <c r="T62">
        <f>+IF(S62=P62,1,0)</f>
        <v>0</v>
      </c>
    </row>
    <row r="63" spans="1:22" x14ac:dyDescent="0.25">
      <c r="B63" s="3" t="s">
        <v>3</v>
      </c>
      <c r="C63" s="3">
        <v>-1</v>
      </c>
      <c r="D63" s="3">
        <v>1</v>
      </c>
      <c r="E63" s="3">
        <v>-1</v>
      </c>
      <c r="H63">
        <f t="shared" ref="H63:H71" si="12">+$F$73*C63</f>
        <v>1</v>
      </c>
      <c r="I63">
        <f t="shared" ref="I63:I71" si="13">+IF(H63=E63,1,0)</f>
        <v>0</v>
      </c>
      <c r="M63" s="3" t="s">
        <v>3</v>
      </c>
      <c r="N63" s="3">
        <v>-1</v>
      </c>
      <c r="O63" s="3">
        <v>1</v>
      </c>
      <c r="P63" s="3">
        <v>-1</v>
      </c>
      <c r="S63">
        <f t="shared" ref="S63:S71" si="14">+$Q$73*O63</f>
        <v>-1</v>
      </c>
      <c r="T63">
        <f t="shared" ref="T63:T71" si="15">+IF(S63=P63,1,0)</f>
        <v>1</v>
      </c>
    </row>
    <row r="64" spans="1:22" x14ac:dyDescent="0.25">
      <c r="A64" t="s">
        <v>20</v>
      </c>
      <c r="B64" s="3" t="s">
        <v>6</v>
      </c>
      <c r="C64" s="3">
        <v>1</v>
      </c>
      <c r="D64" s="3">
        <v>1</v>
      </c>
      <c r="E64" s="3">
        <v>-1</v>
      </c>
      <c r="H64">
        <f t="shared" si="12"/>
        <v>-1</v>
      </c>
      <c r="I64">
        <f t="shared" si="13"/>
        <v>1</v>
      </c>
      <c r="K64" t="s">
        <v>17</v>
      </c>
      <c r="M64" s="3" t="s">
        <v>6</v>
      </c>
      <c r="N64" s="3">
        <v>1</v>
      </c>
      <c r="O64" s="3">
        <v>1</v>
      </c>
      <c r="P64" s="3">
        <v>-1</v>
      </c>
      <c r="S64">
        <f t="shared" si="14"/>
        <v>-1</v>
      </c>
      <c r="T64">
        <f t="shared" si="15"/>
        <v>1</v>
      </c>
      <c r="V64" t="s">
        <v>17</v>
      </c>
    </row>
    <row r="65" spans="1:22" x14ac:dyDescent="0.25">
      <c r="B65" s="3" t="s">
        <v>7</v>
      </c>
      <c r="C65" s="3">
        <v>1</v>
      </c>
      <c r="D65" s="3">
        <v>1</v>
      </c>
      <c r="E65" s="3">
        <v>1</v>
      </c>
      <c r="H65">
        <f t="shared" si="12"/>
        <v>-1</v>
      </c>
      <c r="I65">
        <f t="shared" si="13"/>
        <v>0</v>
      </c>
      <c r="J65">
        <f>+SUM(I62:I65)/COUNT(I62:I65)</f>
        <v>0.25</v>
      </c>
      <c r="K65">
        <f>1-J65</f>
        <v>0.75</v>
      </c>
      <c r="M65" s="3" t="s">
        <v>7</v>
      </c>
      <c r="N65" s="3">
        <v>1</v>
      </c>
      <c r="O65" s="3">
        <v>1</v>
      </c>
      <c r="P65" s="3">
        <v>1</v>
      </c>
      <c r="S65">
        <f t="shared" si="14"/>
        <v>-1</v>
      </c>
      <c r="T65">
        <f t="shared" si="15"/>
        <v>0</v>
      </c>
      <c r="U65">
        <f>+SUM(T62:T65)/COUNT(T62:T65)</f>
        <v>0.5</v>
      </c>
      <c r="V65">
        <f>1-U65</f>
        <v>0.5</v>
      </c>
    </row>
    <row r="66" spans="1:22" x14ac:dyDescent="0.25">
      <c r="B66" s="1" t="s">
        <v>8</v>
      </c>
      <c r="C66" s="1">
        <v>1</v>
      </c>
      <c r="D66" s="1">
        <v>1</v>
      </c>
      <c r="E66" s="1">
        <v>-1</v>
      </c>
      <c r="F66">
        <f t="shared" ref="F66:F68" si="16">+IF(C66=E66,0,1)+F65</f>
        <v>1</v>
      </c>
      <c r="G66">
        <f t="shared" ref="G66:G68" si="17">+IF(-C66=E66,0,1)+G65</f>
        <v>0</v>
      </c>
      <c r="H66">
        <f t="shared" si="12"/>
        <v>-1</v>
      </c>
      <c r="I66">
        <f t="shared" si="13"/>
        <v>1</v>
      </c>
      <c r="M66" s="1" t="s">
        <v>8</v>
      </c>
      <c r="N66" s="1">
        <v>1</v>
      </c>
      <c r="O66" s="1">
        <v>1</v>
      </c>
      <c r="P66" s="1">
        <v>-1</v>
      </c>
      <c r="Q66">
        <f>+IF(O66=P66,0,1)+Q65</f>
        <v>1</v>
      </c>
      <c r="R66">
        <f>+IF(-O66=P66,0,1)+R65</f>
        <v>0</v>
      </c>
      <c r="S66">
        <f t="shared" si="14"/>
        <v>-1</v>
      </c>
      <c r="T66">
        <f t="shared" si="15"/>
        <v>1</v>
      </c>
    </row>
    <row r="67" spans="1:22" x14ac:dyDescent="0.25">
      <c r="A67" t="s">
        <v>21</v>
      </c>
      <c r="B67" s="1" t="s">
        <v>9</v>
      </c>
      <c r="C67" s="1">
        <v>-1</v>
      </c>
      <c r="D67" s="1">
        <v>1</v>
      </c>
      <c r="E67" s="1">
        <v>1</v>
      </c>
      <c r="F67">
        <f t="shared" si="16"/>
        <v>2</v>
      </c>
      <c r="G67">
        <f t="shared" si="17"/>
        <v>0</v>
      </c>
      <c r="H67">
        <f t="shared" si="12"/>
        <v>1</v>
      </c>
      <c r="I67">
        <f t="shared" si="13"/>
        <v>1</v>
      </c>
      <c r="M67" s="1" t="s">
        <v>9</v>
      </c>
      <c r="N67" s="1">
        <v>-1</v>
      </c>
      <c r="O67" s="1">
        <v>1</v>
      </c>
      <c r="P67" s="1">
        <v>1</v>
      </c>
      <c r="Q67">
        <f t="shared" ref="Q67:Q68" si="18">+IF(O67=P67,0,1)+Q66</f>
        <v>1</v>
      </c>
      <c r="R67">
        <f t="shared" ref="R67:R68" si="19">+IF(-O67=P67,0,1)+R66</f>
        <v>1</v>
      </c>
      <c r="S67">
        <f t="shared" si="14"/>
        <v>-1</v>
      </c>
      <c r="T67">
        <f t="shared" si="15"/>
        <v>0</v>
      </c>
    </row>
    <row r="68" spans="1:22" x14ac:dyDescent="0.25">
      <c r="B68" s="1" t="s">
        <v>10</v>
      </c>
      <c r="C68" s="1">
        <v>1</v>
      </c>
      <c r="D68" s="1">
        <v>1</v>
      </c>
      <c r="E68" s="1">
        <v>-1</v>
      </c>
      <c r="F68">
        <f t="shared" si="16"/>
        <v>3</v>
      </c>
      <c r="G68">
        <f t="shared" si="17"/>
        <v>0</v>
      </c>
      <c r="H68">
        <f t="shared" si="12"/>
        <v>-1</v>
      </c>
      <c r="I68">
        <f t="shared" si="13"/>
        <v>1</v>
      </c>
      <c r="M68" s="1" t="s">
        <v>10</v>
      </c>
      <c r="N68" s="1">
        <v>1</v>
      </c>
      <c r="O68" s="1">
        <v>1</v>
      </c>
      <c r="P68" s="1">
        <v>-1</v>
      </c>
      <c r="Q68">
        <f t="shared" si="18"/>
        <v>2</v>
      </c>
      <c r="R68">
        <f t="shared" si="19"/>
        <v>1</v>
      </c>
      <c r="S68">
        <f t="shared" si="14"/>
        <v>-1</v>
      </c>
      <c r="T68">
        <f t="shared" si="15"/>
        <v>1</v>
      </c>
    </row>
    <row r="69" spans="1:22" x14ac:dyDescent="0.25">
      <c r="B69" s="2" t="s">
        <v>11</v>
      </c>
      <c r="C69" s="2">
        <v>-1</v>
      </c>
      <c r="D69" s="2">
        <v>-1</v>
      </c>
      <c r="E69" s="2">
        <v>-1</v>
      </c>
      <c r="H69">
        <f t="shared" si="12"/>
        <v>1</v>
      </c>
      <c r="I69">
        <f t="shared" si="13"/>
        <v>0</v>
      </c>
      <c r="M69" s="2" t="s">
        <v>11</v>
      </c>
      <c r="N69" s="2">
        <v>-1</v>
      </c>
      <c r="O69" s="2">
        <v>-1</v>
      </c>
      <c r="P69" s="2">
        <v>-1</v>
      </c>
      <c r="S69">
        <f t="shared" si="14"/>
        <v>1</v>
      </c>
      <c r="T69">
        <f t="shared" si="15"/>
        <v>0</v>
      </c>
    </row>
    <row r="70" spans="1:22" x14ac:dyDescent="0.25">
      <c r="A70" t="s">
        <v>19</v>
      </c>
      <c r="B70" s="2" t="s">
        <v>12</v>
      </c>
      <c r="C70" s="2">
        <v>1</v>
      </c>
      <c r="D70" s="2">
        <v>1</v>
      </c>
      <c r="E70" s="2">
        <v>1</v>
      </c>
      <c r="H70">
        <f t="shared" si="12"/>
        <v>-1</v>
      </c>
      <c r="I70">
        <f t="shared" si="13"/>
        <v>0</v>
      </c>
      <c r="K70" t="s">
        <v>17</v>
      </c>
      <c r="M70" s="2" t="s">
        <v>12</v>
      </c>
      <c r="N70" s="2">
        <v>1</v>
      </c>
      <c r="O70" s="2">
        <v>1</v>
      </c>
      <c r="P70" s="2">
        <v>1</v>
      </c>
      <c r="S70">
        <f t="shared" si="14"/>
        <v>-1</v>
      </c>
      <c r="T70">
        <f t="shared" si="15"/>
        <v>0</v>
      </c>
      <c r="V70" t="s">
        <v>17</v>
      </c>
    </row>
    <row r="71" spans="1:22" x14ac:dyDescent="0.25">
      <c r="B71" s="2" t="s">
        <v>13</v>
      </c>
      <c r="C71" s="2">
        <v>1</v>
      </c>
      <c r="D71" s="2">
        <v>-1</v>
      </c>
      <c r="E71" s="2">
        <v>1</v>
      </c>
      <c r="H71">
        <f t="shared" si="12"/>
        <v>-1</v>
      </c>
      <c r="I71">
        <f t="shared" si="13"/>
        <v>0</v>
      </c>
      <c r="J71">
        <f>+SUM(I69:I71)/COUNT(I69:I71)</f>
        <v>0</v>
      </c>
      <c r="K71">
        <f>1-J71</f>
        <v>1</v>
      </c>
      <c r="M71" s="2" t="s">
        <v>13</v>
      </c>
      <c r="N71" s="2">
        <v>1</v>
      </c>
      <c r="O71" s="2">
        <v>-1</v>
      </c>
      <c r="P71" s="2">
        <v>1</v>
      </c>
      <c r="S71">
        <f t="shared" si="14"/>
        <v>1</v>
      </c>
      <c r="T71">
        <f t="shared" si="15"/>
        <v>1</v>
      </c>
      <c r="U71">
        <f>+SUM(T69:T71)/COUNT(T69:T71)</f>
        <v>0.33333333333333331</v>
      </c>
      <c r="V71">
        <f>1-U71</f>
        <v>0.66666666666666674</v>
      </c>
    </row>
    <row r="72" spans="1:22" x14ac:dyDescent="0.25">
      <c r="E72" t="s">
        <v>14</v>
      </c>
      <c r="F72">
        <f>+F71</f>
        <v>0</v>
      </c>
      <c r="G72">
        <f>+G71</f>
        <v>0</v>
      </c>
      <c r="P72" t="s">
        <v>14</v>
      </c>
      <c r="Q72">
        <f>+Q71</f>
        <v>0</v>
      </c>
      <c r="R72">
        <f>+R71</f>
        <v>0</v>
      </c>
    </row>
    <row r="73" spans="1:22" x14ac:dyDescent="0.25">
      <c r="E73" t="s">
        <v>5</v>
      </c>
      <c r="F73">
        <f>+IF(MAX(F62:F71)&lt;=MAX(G62:G71),1,-1)</f>
        <v>-1</v>
      </c>
      <c r="P73" t="s">
        <v>5</v>
      </c>
      <c r="Q73">
        <f>+IF(MAX(Q62:Q71)&lt;=MAX(R62:R71),1,-1)</f>
        <v>-1</v>
      </c>
    </row>
    <row r="76" spans="1:22" x14ac:dyDescent="0.25">
      <c r="C76" t="s">
        <v>16</v>
      </c>
      <c r="N76" t="s">
        <v>18</v>
      </c>
    </row>
    <row r="77" spans="1:22" x14ac:dyDescent="0.25">
      <c r="B77" s="1"/>
      <c r="C77" s="1" t="s">
        <v>2</v>
      </c>
      <c r="D77" s="1" t="s">
        <v>3</v>
      </c>
      <c r="E77" s="1" t="s">
        <v>4</v>
      </c>
      <c r="F77" s="1" t="s">
        <v>0</v>
      </c>
      <c r="G77" s="1" t="s">
        <v>1</v>
      </c>
      <c r="H77" s="1" t="s">
        <v>15</v>
      </c>
      <c r="M77" s="1"/>
      <c r="N77" s="1" t="s">
        <v>2</v>
      </c>
      <c r="O77" s="1" t="s">
        <v>3</v>
      </c>
      <c r="P77" s="1" t="s">
        <v>4</v>
      </c>
      <c r="Q77" s="1" t="s">
        <v>0</v>
      </c>
      <c r="R77" s="1" t="s">
        <v>1</v>
      </c>
      <c r="S77" s="1" t="s">
        <v>15</v>
      </c>
    </row>
    <row r="78" spans="1:22" x14ac:dyDescent="0.25">
      <c r="B78" s="4" t="s">
        <v>2</v>
      </c>
      <c r="C78" s="4">
        <v>1</v>
      </c>
      <c r="D78" s="4">
        <v>1</v>
      </c>
      <c r="E78" s="4">
        <v>1</v>
      </c>
      <c r="F78">
        <f>+IF(C78=E78,0,1)</f>
        <v>0</v>
      </c>
      <c r="G78">
        <f>+IF(-C78=E78,0,1)</f>
        <v>1</v>
      </c>
      <c r="H78" s="5">
        <f>+$F$89*C78</f>
        <v>1</v>
      </c>
      <c r="I78" s="5">
        <f>+IF(H78=E78,1,0)</f>
        <v>1</v>
      </c>
      <c r="J78" s="5"/>
      <c r="K78" s="5"/>
      <c r="L78" s="5"/>
      <c r="M78" s="4" t="s">
        <v>2</v>
      </c>
      <c r="N78" s="4">
        <v>1</v>
      </c>
      <c r="O78" s="4">
        <v>1</v>
      </c>
      <c r="P78" s="4">
        <v>1</v>
      </c>
      <c r="Q78">
        <f>+IF(O78=P78,0,1)</f>
        <v>0</v>
      </c>
      <c r="R78">
        <f>+IF(-O78=P78,0,1)</f>
        <v>1</v>
      </c>
      <c r="S78">
        <f>+$Q$89*O78</f>
        <v>1</v>
      </c>
      <c r="T78">
        <f>+IF(S78=P78,1,0)</f>
        <v>1</v>
      </c>
    </row>
    <row r="79" spans="1:22" x14ac:dyDescent="0.25">
      <c r="B79" s="4" t="s">
        <v>3</v>
      </c>
      <c r="C79" s="4">
        <v>-1</v>
      </c>
      <c r="D79" s="4">
        <v>1</v>
      </c>
      <c r="E79" s="4">
        <v>-1</v>
      </c>
      <c r="F79">
        <f t="shared" ref="F78:F81" si="20">+IF(C79=E79,0,1)+F78</f>
        <v>0</v>
      </c>
      <c r="G79">
        <f t="shared" ref="G78:G81" si="21">+IF(-C79=E79,0,1)+G78</f>
        <v>2</v>
      </c>
      <c r="H79" s="5">
        <f t="shared" ref="H79:H87" si="22">+$F$89*C79</f>
        <v>-1</v>
      </c>
      <c r="I79" s="5">
        <f t="shared" ref="I79:I87" si="23">+IF(H79=E79,1,0)</f>
        <v>1</v>
      </c>
      <c r="J79" s="5"/>
      <c r="K79" s="5"/>
      <c r="L79" s="5"/>
      <c r="M79" s="4" t="s">
        <v>3</v>
      </c>
      <c r="N79" s="4">
        <v>-1</v>
      </c>
      <c r="O79" s="4">
        <v>1</v>
      </c>
      <c r="P79" s="4">
        <v>-1</v>
      </c>
      <c r="Q79">
        <f t="shared" ref="Q78:Q81" si="24">+IF(O79=P79,0,1)+Q78</f>
        <v>1</v>
      </c>
      <c r="R79">
        <f>+IF(-O79=P79,0,1)+R78</f>
        <v>1</v>
      </c>
      <c r="S79">
        <f t="shared" ref="S79:S87" si="25">+$Q$89*O79</f>
        <v>1</v>
      </c>
      <c r="T79">
        <f t="shared" ref="T79:T87" si="26">+IF(S79=P79,1,0)</f>
        <v>0</v>
      </c>
    </row>
    <row r="80" spans="1:22" x14ac:dyDescent="0.25">
      <c r="A80" t="s">
        <v>21</v>
      </c>
      <c r="B80" s="4" t="s">
        <v>6</v>
      </c>
      <c r="C80" s="4">
        <v>1</v>
      </c>
      <c r="D80" s="4">
        <v>1</v>
      </c>
      <c r="E80" s="4">
        <v>-1</v>
      </c>
      <c r="F80">
        <f t="shared" si="20"/>
        <v>1</v>
      </c>
      <c r="G80">
        <f t="shared" si="21"/>
        <v>2</v>
      </c>
      <c r="H80" s="5">
        <f t="shared" si="22"/>
        <v>1</v>
      </c>
      <c r="I80" s="5">
        <f t="shared" si="23"/>
        <v>0</v>
      </c>
      <c r="L80" s="5"/>
      <c r="M80" s="4" t="s">
        <v>6</v>
      </c>
      <c r="N80" s="4">
        <v>1</v>
      </c>
      <c r="O80" s="4">
        <v>1</v>
      </c>
      <c r="P80" s="4">
        <v>-1</v>
      </c>
      <c r="Q80">
        <f t="shared" si="24"/>
        <v>2</v>
      </c>
      <c r="R80">
        <f t="shared" ref="R78:R81" si="27">+IF(-O80=P80,0,1)+R79</f>
        <v>1</v>
      </c>
      <c r="S80">
        <f t="shared" si="25"/>
        <v>1</v>
      </c>
      <c r="T80">
        <f t="shared" si="26"/>
        <v>0</v>
      </c>
    </row>
    <row r="81" spans="1:22" x14ac:dyDescent="0.25">
      <c r="B81" s="4" t="s">
        <v>7</v>
      </c>
      <c r="C81" s="4">
        <v>1</v>
      </c>
      <c r="D81" s="4">
        <v>1</v>
      </c>
      <c r="E81" s="4">
        <v>1</v>
      </c>
      <c r="F81">
        <f t="shared" si="20"/>
        <v>1</v>
      </c>
      <c r="G81">
        <f t="shared" si="21"/>
        <v>3</v>
      </c>
      <c r="H81" s="5">
        <f t="shared" si="22"/>
        <v>1</v>
      </c>
      <c r="I81" s="5">
        <f t="shared" si="23"/>
        <v>1</v>
      </c>
      <c r="L81" s="5"/>
      <c r="M81" s="4" t="s">
        <v>7</v>
      </c>
      <c r="N81" s="4">
        <v>1</v>
      </c>
      <c r="O81" s="4">
        <v>1</v>
      </c>
      <c r="P81" s="4">
        <v>1</v>
      </c>
      <c r="Q81">
        <f t="shared" si="24"/>
        <v>2</v>
      </c>
      <c r="R81">
        <f t="shared" si="27"/>
        <v>2</v>
      </c>
      <c r="S81">
        <f t="shared" si="25"/>
        <v>1</v>
      </c>
      <c r="T81">
        <f t="shared" si="26"/>
        <v>1</v>
      </c>
    </row>
    <row r="82" spans="1:22" x14ac:dyDescent="0.25">
      <c r="B82" s="3" t="s">
        <v>8</v>
      </c>
      <c r="C82" s="3">
        <v>1</v>
      </c>
      <c r="D82" s="3">
        <v>1</v>
      </c>
      <c r="E82" s="3">
        <v>-1</v>
      </c>
      <c r="H82" s="5">
        <f t="shared" si="22"/>
        <v>1</v>
      </c>
      <c r="I82">
        <f t="shared" si="23"/>
        <v>0</v>
      </c>
      <c r="M82" s="3" t="s">
        <v>8</v>
      </c>
      <c r="N82" s="3">
        <v>1</v>
      </c>
      <c r="O82" s="3">
        <v>1</v>
      </c>
      <c r="P82" s="3">
        <v>-1</v>
      </c>
      <c r="S82">
        <f t="shared" si="25"/>
        <v>1</v>
      </c>
      <c r="T82">
        <f t="shared" si="26"/>
        <v>0</v>
      </c>
    </row>
    <row r="83" spans="1:22" x14ac:dyDescent="0.25">
      <c r="A83" t="s">
        <v>20</v>
      </c>
      <c r="B83" s="3" t="s">
        <v>9</v>
      </c>
      <c r="C83" s="3">
        <v>-1</v>
      </c>
      <c r="D83" s="3">
        <v>1</v>
      </c>
      <c r="E83" s="3">
        <v>1</v>
      </c>
      <c r="H83" s="5">
        <f t="shared" si="22"/>
        <v>-1</v>
      </c>
      <c r="I83">
        <f t="shared" si="23"/>
        <v>0</v>
      </c>
      <c r="K83" t="s">
        <v>17</v>
      </c>
      <c r="M83" s="3" t="s">
        <v>9</v>
      </c>
      <c r="N83" s="3">
        <v>-1</v>
      </c>
      <c r="O83" s="3">
        <v>1</v>
      </c>
      <c r="P83" s="3">
        <v>1</v>
      </c>
      <c r="S83">
        <f t="shared" si="25"/>
        <v>1</v>
      </c>
      <c r="T83">
        <f t="shared" si="26"/>
        <v>1</v>
      </c>
      <c r="V83" t="s">
        <v>17</v>
      </c>
    </row>
    <row r="84" spans="1:22" x14ac:dyDescent="0.25">
      <c r="B84" s="3" t="s">
        <v>10</v>
      </c>
      <c r="C84" s="3">
        <v>1</v>
      </c>
      <c r="D84" s="3">
        <v>1</v>
      </c>
      <c r="E84" s="3">
        <v>-1</v>
      </c>
      <c r="H84" s="5">
        <f t="shared" si="22"/>
        <v>1</v>
      </c>
      <c r="I84">
        <f t="shared" si="23"/>
        <v>0</v>
      </c>
      <c r="J84" s="5">
        <f>+SUM(I82:I84)/COUNT(I82:I84)</f>
        <v>0</v>
      </c>
      <c r="K84" s="5">
        <f>1-J84</f>
        <v>1</v>
      </c>
      <c r="M84" s="3" t="s">
        <v>10</v>
      </c>
      <c r="N84" s="3">
        <v>1</v>
      </c>
      <c r="O84" s="3">
        <v>1</v>
      </c>
      <c r="P84" s="3">
        <v>-1</v>
      </c>
      <c r="S84">
        <f t="shared" si="25"/>
        <v>1</v>
      </c>
      <c r="T84">
        <f t="shared" si="26"/>
        <v>0</v>
      </c>
      <c r="U84" s="5">
        <f>+SUM(T82:T84)/COUNT(T82:T84)</f>
        <v>0.33333333333333331</v>
      </c>
      <c r="V84" s="5">
        <f>1-U84</f>
        <v>0.66666666666666674</v>
      </c>
    </row>
    <row r="85" spans="1:22" x14ac:dyDescent="0.25">
      <c r="B85" s="2" t="s">
        <v>11</v>
      </c>
      <c r="C85" s="2">
        <v>-1</v>
      </c>
      <c r="D85" s="2">
        <v>-1</v>
      </c>
      <c r="E85" s="2">
        <v>-1</v>
      </c>
      <c r="H85" s="5">
        <f t="shared" si="22"/>
        <v>-1</v>
      </c>
      <c r="I85">
        <f t="shared" si="23"/>
        <v>1</v>
      </c>
      <c r="M85" s="2" t="s">
        <v>11</v>
      </c>
      <c r="N85" s="2">
        <v>-1</v>
      </c>
      <c r="O85" s="2">
        <v>-1</v>
      </c>
      <c r="P85" s="2">
        <v>-1</v>
      </c>
      <c r="S85">
        <f t="shared" si="25"/>
        <v>-1</v>
      </c>
      <c r="T85">
        <f t="shared" si="26"/>
        <v>1</v>
      </c>
    </row>
    <row r="86" spans="1:22" x14ac:dyDescent="0.25">
      <c r="A86" t="s">
        <v>19</v>
      </c>
      <c r="B86" s="2" t="s">
        <v>12</v>
      </c>
      <c r="C86" s="2">
        <v>1</v>
      </c>
      <c r="D86" s="2">
        <v>1</v>
      </c>
      <c r="E86" s="2">
        <v>1</v>
      </c>
      <c r="H86" s="5">
        <f t="shared" si="22"/>
        <v>1</v>
      </c>
      <c r="I86">
        <f t="shared" si="23"/>
        <v>1</v>
      </c>
      <c r="M86" s="2" t="s">
        <v>12</v>
      </c>
      <c r="N86" s="2">
        <v>1</v>
      </c>
      <c r="O86" s="2">
        <v>1</v>
      </c>
      <c r="P86" s="2">
        <v>1</v>
      </c>
      <c r="S86">
        <f t="shared" si="25"/>
        <v>1</v>
      </c>
      <c r="T86">
        <f t="shared" si="26"/>
        <v>1</v>
      </c>
    </row>
    <row r="87" spans="1:22" x14ac:dyDescent="0.25">
      <c r="B87" s="2" t="s">
        <v>13</v>
      </c>
      <c r="C87" s="2">
        <v>1</v>
      </c>
      <c r="D87" s="2">
        <v>-1</v>
      </c>
      <c r="E87" s="2">
        <v>1</v>
      </c>
      <c r="H87" s="5">
        <f t="shared" si="22"/>
        <v>1</v>
      </c>
      <c r="I87">
        <f t="shared" si="23"/>
        <v>1</v>
      </c>
      <c r="J87">
        <f>+SUM(I85:I87)/COUNT(I85:I87)</f>
        <v>1</v>
      </c>
      <c r="K87">
        <f>1-J87</f>
        <v>0</v>
      </c>
      <c r="M87" s="2" t="s">
        <v>13</v>
      </c>
      <c r="N87" s="2">
        <v>1</v>
      </c>
      <c r="O87" s="2">
        <v>-1</v>
      </c>
      <c r="P87" s="2">
        <v>1</v>
      </c>
      <c r="S87">
        <f t="shared" si="25"/>
        <v>-1</v>
      </c>
      <c r="T87">
        <f t="shared" si="26"/>
        <v>0</v>
      </c>
      <c r="U87">
        <f>+SUM(T85:T87)/COUNT(T85:T87)</f>
        <v>0.66666666666666663</v>
      </c>
      <c r="V87">
        <f>1-U87</f>
        <v>0.33333333333333337</v>
      </c>
    </row>
    <row r="88" spans="1:22" x14ac:dyDescent="0.25">
      <c r="E88" t="s">
        <v>14</v>
      </c>
      <c r="F88">
        <f>+F87</f>
        <v>0</v>
      </c>
      <c r="G88">
        <f>+G87</f>
        <v>0</v>
      </c>
      <c r="P88" t="s">
        <v>14</v>
      </c>
      <c r="Q88">
        <f>+Q87</f>
        <v>0</v>
      </c>
      <c r="R88">
        <f>+R87</f>
        <v>0</v>
      </c>
    </row>
    <row r="89" spans="1:22" x14ac:dyDescent="0.25">
      <c r="E89" t="s">
        <v>5</v>
      </c>
      <c r="F89">
        <f>+IF(MAX(F78:F87)&lt;=MAX(G78:G87),1,-1)</f>
        <v>1</v>
      </c>
      <c r="P89" t="s">
        <v>5</v>
      </c>
      <c r="Q89">
        <f>+IF(MAX(Q78:Q87)&lt;=MAX(R78:R87),1,-1)</f>
        <v>1</v>
      </c>
    </row>
    <row r="91" spans="1:22" x14ac:dyDescent="0.25">
      <c r="J91" s="5"/>
      <c r="K91" s="5" t="s">
        <v>22</v>
      </c>
      <c r="V91" s="5" t="s">
        <v>22</v>
      </c>
    </row>
    <row r="92" spans="1:22" x14ac:dyDescent="0.25">
      <c r="K92">
        <f>+(K84+K65)/2</f>
        <v>0.875</v>
      </c>
      <c r="V92">
        <f>+(V84+V65)/2</f>
        <v>0.58333333333333337</v>
      </c>
    </row>
    <row r="97" spans="10:22" x14ac:dyDescent="0.25">
      <c r="K97" t="s">
        <v>17</v>
      </c>
    </row>
    <row r="98" spans="10:22" x14ac:dyDescent="0.25">
      <c r="J98">
        <f>+SUM(I85:I87)/COUNT(I85:I87)</f>
        <v>1</v>
      </c>
      <c r="K98">
        <f>1-J98</f>
        <v>0</v>
      </c>
    </row>
    <row r="100" spans="10:22" x14ac:dyDescent="0.25">
      <c r="M100" s="6"/>
    </row>
    <row r="101" spans="10:22" x14ac:dyDescent="0.25">
      <c r="N101" t="s">
        <v>18</v>
      </c>
    </row>
    <row r="102" spans="10:22" x14ac:dyDescent="0.25">
      <c r="M102" s="1"/>
      <c r="N102" s="1" t="s">
        <v>2</v>
      </c>
      <c r="O102" s="1" t="s">
        <v>3</v>
      </c>
      <c r="P102" s="1" t="s">
        <v>4</v>
      </c>
      <c r="Q102" s="1" t="s">
        <v>0</v>
      </c>
      <c r="R102" s="1" t="s">
        <v>1</v>
      </c>
      <c r="S102" s="1" t="s">
        <v>15</v>
      </c>
    </row>
    <row r="103" spans="10:22" x14ac:dyDescent="0.25">
      <c r="M103" s="4" t="s">
        <v>2</v>
      </c>
      <c r="N103" s="4">
        <v>1</v>
      </c>
      <c r="O103" s="4">
        <v>1</v>
      </c>
      <c r="P103" s="4">
        <v>1</v>
      </c>
      <c r="Q103">
        <f>+IF(O103=P103,0,1)</f>
        <v>0</v>
      </c>
      <c r="R103">
        <f>+IF(-O103=P103,0,1)</f>
        <v>1</v>
      </c>
      <c r="S103">
        <f>+$Q$89*O103</f>
        <v>1</v>
      </c>
      <c r="T103">
        <f>+IF(S103=P103,1,0)</f>
        <v>1</v>
      </c>
    </row>
    <row r="104" spans="10:22" x14ac:dyDescent="0.25">
      <c r="M104" s="4" t="s">
        <v>3</v>
      </c>
      <c r="N104" s="4">
        <v>-1</v>
      </c>
      <c r="O104" s="4">
        <v>1</v>
      </c>
      <c r="P104" s="4">
        <v>-1</v>
      </c>
      <c r="Q104">
        <f t="shared" ref="Q104:Q106" si="28">+IF(O104=P104,0,1)+Q103</f>
        <v>1</v>
      </c>
      <c r="R104">
        <f>+IF(-O104=P104,0,1)+R103</f>
        <v>1</v>
      </c>
      <c r="S104">
        <f t="shared" ref="S104:S112" si="29">+$Q$89*O104</f>
        <v>1</v>
      </c>
      <c r="T104">
        <f t="shared" ref="T104:T112" si="30">+IF(S104=P104,1,0)</f>
        <v>0</v>
      </c>
    </row>
    <row r="105" spans="10:22" x14ac:dyDescent="0.25">
      <c r="M105" s="4" t="s">
        <v>6</v>
      </c>
      <c r="N105" s="4">
        <v>1</v>
      </c>
      <c r="O105" s="4">
        <v>1</v>
      </c>
      <c r="P105" s="4">
        <v>-1</v>
      </c>
      <c r="Q105">
        <f t="shared" si="28"/>
        <v>2</v>
      </c>
      <c r="R105">
        <f t="shared" ref="R105:R109" si="31">+IF(-O105=P105,0,1)+R104</f>
        <v>1</v>
      </c>
      <c r="S105">
        <f t="shared" si="29"/>
        <v>1</v>
      </c>
      <c r="T105">
        <f t="shared" si="30"/>
        <v>0</v>
      </c>
    </row>
    <row r="106" spans="10:22" x14ac:dyDescent="0.25">
      <c r="M106" s="4" t="s">
        <v>7</v>
      </c>
      <c r="N106" s="4">
        <v>1</v>
      </c>
      <c r="O106" s="4">
        <v>1</v>
      </c>
      <c r="P106" s="4">
        <v>1</v>
      </c>
      <c r="Q106">
        <f>+IF(O106=P106,0,1)+Q105</f>
        <v>2</v>
      </c>
      <c r="R106">
        <f t="shared" si="31"/>
        <v>2</v>
      </c>
      <c r="S106">
        <f t="shared" si="29"/>
        <v>1</v>
      </c>
      <c r="T106">
        <f t="shared" si="30"/>
        <v>1</v>
      </c>
    </row>
    <row r="107" spans="10:22" x14ac:dyDescent="0.25">
      <c r="M107" s="4" t="s">
        <v>8</v>
      </c>
      <c r="N107" s="4">
        <v>1</v>
      </c>
      <c r="O107" s="4">
        <v>1</v>
      </c>
      <c r="P107" s="4">
        <v>-1</v>
      </c>
      <c r="Q107">
        <f t="shared" ref="Q107:Q109" si="32">+IF(O107=P107,0,1)+Q106</f>
        <v>3</v>
      </c>
      <c r="R107">
        <f t="shared" si="31"/>
        <v>2</v>
      </c>
      <c r="S107">
        <f t="shared" si="29"/>
        <v>1</v>
      </c>
      <c r="T107">
        <f t="shared" si="30"/>
        <v>0</v>
      </c>
    </row>
    <row r="108" spans="10:22" x14ac:dyDescent="0.25">
      <c r="M108" s="4" t="s">
        <v>9</v>
      </c>
      <c r="N108" s="4">
        <v>-1</v>
      </c>
      <c r="O108" s="4">
        <v>1</v>
      </c>
      <c r="P108" s="4">
        <v>1</v>
      </c>
      <c r="Q108">
        <f t="shared" si="32"/>
        <v>3</v>
      </c>
      <c r="R108">
        <f t="shared" si="31"/>
        <v>3</v>
      </c>
      <c r="S108">
        <f t="shared" si="29"/>
        <v>1</v>
      </c>
      <c r="T108">
        <f t="shared" si="30"/>
        <v>1</v>
      </c>
    </row>
    <row r="109" spans="10:22" x14ac:dyDescent="0.25">
      <c r="M109" s="4" t="s">
        <v>10</v>
      </c>
      <c r="N109" s="4">
        <v>1</v>
      </c>
      <c r="O109" s="4">
        <v>1</v>
      </c>
      <c r="P109" s="4">
        <v>-1</v>
      </c>
      <c r="Q109">
        <f t="shared" si="32"/>
        <v>4</v>
      </c>
      <c r="R109">
        <f t="shared" si="31"/>
        <v>3</v>
      </c>
      <c r="S109">
        <f t="shared" si="29"/>
        <v>1</v>
      </c>
      <c r="T109">
        <f t="shared" si="30"/>
        <v>0</v>
      </c>
      <c r="U109" s="5"/>
      <c r="V109" s="5"/>
    </row>
    <row r="110" spans="10:22" x14ac:dyDescent="0.25">
      <c r="M110" s="2" t="s">
        <v>11</v>
      </c>
      <c r="N110" s="2">
        <v>-1</v>
      </c>
      <c r="O110" s="2">
        <v>-1</v>
      </c>
      <c r="P110" s="2">
        <v>-1</v>
      </c>
      <c r="S110">
        <f t="shared" si="29"/>
        <v>-1</v>
      </c>
      <c r="T110">
        <f t="shared" si="30"/>
        <v>1</v>
      </c>
    </row>
    <row r="111" spans="10:22" x14ac:dyDescent="0.25">
      <c r="M111" s="2" t="s">
        <v>12</v>
      </c>
      <c r="N111" s="2">
        <v>1</v>
      </c>
      <c r="O111" s="2">
        <v>1</v>
      </c>
      <c r="P111" s="2">
        <v>1</v>
      </c>
      <c r="S111">
        <f t="shared" si="29"/>
        <v>1</v>
      </c>
      <c r="T111">
        <f t="shared" si="30"/>
        <v>1</v>
      </c>
    </row>
    <row r="112" spans="10:22" x14ac:dyDescent="0.25">
      <c r="M112" s="2" t="s">
        <v>13</v>
      </c>
      <c r="N112" s="2">
        <v>1</v>
      </c>
      <c r="O112" s="2">
        <v>-1</v>
      </c>
      <c r="P112" s="2">
        <v>1</v>
      </c>
      <c r="S112">
        <f t="shared" si="29"/>
        <v>-1</v>
      </c>
      <c r="T112">
        <f t="shared" si="30"/>
        <v>0</v>
      </c>
    </row>
    <row r="113" spans="16:22" x14ac:dyDescent="0.25">
      <c r="P113" t="s">
        <v>14</v>
      </c>
      <c r="Q113">
        <f>+Q112</f>
        <v>0</v>
      </c>
      <c r="R113">
        <f>+R112</f>
        <v>0</v>
      </c>
    </row>
    <row r="114" spans="16:22" x14ac:dyDescent="0.25">
      <c r="P114" t="s">
        <v>5</v>
      </c>
      <c r="Q114">
        <f>+IF(MAX(Q103:Q112)&lt;=MAX(R103:R112),1,-1)</f>
        <v>-1</v>
      </c>
      <c r="V114" s="5" t="s">
        <v>23</v>
      </c>
    </row>
    <row r="115" spans="16:22" x14ac:dyDescent="0.25">
      <c r="U115">
        <f>+SUM(T110:T112)/COUNT(T110:T112)</f>
        <v>0.66666666666666663</v>
      </c>
      <c r="V115">
        <f>1-U115</f>
        <v>0.33333333333333337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2026-01-24T16:15:38Z</dcterms:created>
  <dcterms:modified xsi:type="dcterms:W3CDTF">2026-02-02T08:51:02Z</dcterms:modified>
</cp:coreProperties>
</file>