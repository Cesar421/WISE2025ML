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Nextcloud\Introduction to Machine learning\WISE2025ML\H2\"/>
    </mc:Choice>
  </mc:AlternateContent>
  <xr:revisionPtr revIDLastSave="0" documentId="13_ncr:1_{694FBB26-ADF2-43DE-BCCB-360465A04271}" xr6:coauthVersionLast="47" xr6:coauthVersionMax="47" xr10:uidLastSave="{00000000-0000-0000-0000-000000000000}"/>
  <bookViews>
    <workbookView xWindow="16371" yWindow="0" windowWidth="16629" windowHeight="17880" xr2:uid="{0193B184-94B8-4A21-8FD1-AC86E2ADD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H31" i="1" a="1"/>
  <c r="H31" i="1" s="1"/>
  <c r="H11" i="1" a="1"/>
  <c r="H11" i="1" s="1"/>
  <c r="H17" i="1" s="1" a="1"/>
  <c r="H17" i="1" s="1"/>
  <c r="H22" i="1" s="1" a="1"/>
  <c r="H22" i="1" s="1"/>
  <c r="H27" i="1" s="1" a="1"/>
  <c r="H27" i="1" s="1"/>
  <c r="H36" i="1" s="1" a="1"/>
  <c r="H36" i="1" s="1"/>
  <c r="B16" i="1" a="1"/>
  <c r="B16" i="1" s="1"/>
  <c r="F4" i="1"/>
  <c r="F5" i="1"/>
  <c r="F3" i="1"/>
  <c r="B9" i="1" l="1"/>
  <c r="B8" i="1" s="1"/>
  <c r="B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<sst xmlns="http://schemas.openxmlformats.org/spreadsheetml/2006/main" count="29" uniqueCount="26">
  <si>
    <t>Car</t>
  </si>
  <si>
    <t>Tesla Model 3</t>
  </si>
  <si>
    <t>Hyundai Ioniq 5</t>
  </si>
  <si>
    <t>Kia EV9</t>
  </si>
  <si>
    <t>Renault 5 E-Tech</t>
  </si>
  <si>
    <t>Battery age (years)</t>
  </si>
  <si>
    <t>Total km driven</t>
  </si>
  <si>
    <t>Remaining capacity (%)</t>
  </si>
  <si>
    <t>Average</t>
  </si>
  <si>
    <t>w1</t>
  </si>
  <si>
    <t>w0</t>
  </si>
  <si>
    <t>part a</t>
  </si>
  <si>
    <t>part b</t>
  </si>
  <si>
    <t>Capacity for Kia EV9</t>
  </si>
  <si>
    <t>part c</t>
  </si>
  <si>
    <t>w2</t>
  </si>
  <si>
    <t>intercept columns</t>
  </si>
  <si>
    <r>
      <t>X</t>
    </r>
    <r>
      <rPr>
        <vertAlign val="superscript"/>
        <sz val="11"/>
        <color theme="1"/>
        <rFont val="Aptos Narrow"/>
        <scheme val="minor"/>
      </rPr>
      <t>T</t>
    </r>
  </si>
  <si>
    <t>X</t>
  </si>
  <si>
    <r>
      <t>X</t>
    </r>
    <r>
      <rPr>
        <vertAlign val="superscript"/>
        <sz val="11"/>
        <color theme="1"/>
        <rFont val="Aptos Narrow"/>
        <scheme val="minor"/>
      </rPr>
      <t>T</t>
    </r>
    <r>
      <rPr>
        <sz val="11"/>
        <color theme="1"/>
        <rFont val="Aptos Narrow"/>
        <scheme val="minor"/>
      </rPr>
      <t>X</t>
    </r>
  </si>
  <si>
    <r>
      <t>(X</t>
    </r>
    <r>
      <rPr>
        <vertAlign val="superscript"/>
        <sz val="11"/>
        <color theme="1"/>
        <rFont val="Aptos Narrow"/>
        <scheme val="minor"/>
      </rPr>
      <t>T</t>
    </r>
    <r>
      <rPr>
        <sz val="11"/>
        <color theme="1"/>
        <rFont val="Aptos Narrow"/>
        <family val="2"/>
        <scheme val="minor"/>
      </rPr>
      <t>X)</t>
    </r>
    <r>
      <rPr>
        <vertAlign val="superscript"/>
        <sz val="11"/>
        <color theme="1"/>
        <rFont val="Aptos Narrow"/>
        <scheme val="minor"/>
      </rPr>
      <t>-1</t>
    </r>
  </si>
  <si>
    <r>
      <t>(X</t>
    </r>
    <r>
      <rPr>
        <vertAlign val="superscript"/>
        <sz val="11"/>
        <color theme="1"/>
        <rFont val="Aptos Narrow"/>
        <scheme val="minor"/>
      </rPr>
      <t>T</t>
    </r>
    <r>
      <rPr>
        <sz val="11"/>
        <color theme="1"/>
        <rFont val="Aptos Narrow"/>
        <family val="2"/>
        <scheme val="minor"/>
      </rPr>
      <t>X)</t>
    </r>
    <r>
      <rPr>
        <vertAlign val="superscript"/>
        <sz val="11"/>
        <color theme="1"/>
        <rFont val="Aptos Narrow"/>
        <scheme val="minor"/>
      </rPr>
      <t>-1</t>
    </r>
    <r>
      <rPr>
        <sz val="11"/>
        <color theme="1"/>
        <rFont val="Aptos Narrow"/>
        <family val="2"/>
        <scheme val="minor"/>
      </rPr>
      <t>X</t>
    </r>
    <r>
      <rPr>
        <vertAlign val="superscript"/>
        <sz val="11"/>
        <color theme="1"/>
        <rFont val="Aptos Narrow"/>
        <scheme val="minor"/>
      </rPr>
      <t>T</t>
    </r>
  </si>
  <si>
    <r>
      <t>w = (X</t>
    </r>
    <r>
      <rPr>
        <vertAlign val="superscript"/>
        <sz val="11"/>
        <color theme="1"/>
        <rFont val="Aptos Narrow"/>
        <scheme val="minor"/>
      </rPr>
      <t>T</t>
    </r>
    <r>
      <rPr>
        <sz val="11"/>
        <color theme="1"/>
        <rFont val="Aptos Narrow"/>
        <family val="2"/>
        <scheme val="minor"/>
      </rPr>
      <t>X)</t>
    </r>
    <r>
      <rPr>
        <vertAlign val="superscript"/>
        <sz val="11"/>
        <color theme="1"/>
        <rFont val="Aptos Narrow"/>
        <scheme val="minor"/>
      </rPr>
      <t>-1</t>
    </r>
    <r>
      <rPr>
        <sz val="11"/>
        <color theme="1"/>
        <rFont val="Aptos Narrow"/>
        <family val="2"/>
        <scheme val="minor"/>
      </rPr>
      <t>X</t>
    </r>
    <r>
      <rPr>
        <vertAlign val="superscript"/>
        <sz val="11"/>
        <color theme="1"/>
        <rFont val="Aptos Narrow"/>
        <scheme val="minor"/>
      </rPr>
      <t>T</t>
    </r>
    <r>
      <rPr>
        <sz val="11"/>
        <color theme="1"/>
        <rFont val="Aptos Narrow"/>
        <family val="2"/>
        <scheme val="minor"/>
      </rPr>
      <t>y</t>
    </r>
  </si>
  <si>
    <t>y</t>
  </si>
  <si>
    <t>w</t>
  </si>
  <si>
    <t>part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</si>
</sst>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0"/>
    <numFmt numFmtId="169" formatCode="0.0000"/>
    <numFmt numFmtId="170" formatCode="0.000"/>
  </numFmts>
  <fonts count="3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7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0" fontId="0" fillId="0" borderId="3" xfId="0" applyNumberFormat="1" applyBorder="1"/>
    <xf numFmtId="170" fontId="0" fillId="0" borderId="5" xfId="0" applyNumberFormat="1" applyBorder="1"/>
    <xf numFmtId="167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Battery degradation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4079409230294394"/>
                  <c:y val="0.1987703212105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Sheet1!$B$3:$E$3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</c:numCache>
            </c:numRef>
          </c:xVal>
          <c:yVal>
            <c:numRef>
              <c:f>Sheet1!$B$5:$E$5</c:f>
              <c:numCache>
                <c:formatCode>General</c:formatCode>
                <c:ptCount val="4"/>
                <c:pt idx="0">
                  <c:v>96</c:v>
                </c:pt>
                <c:pt idx="1">
                  <c:v>89</c:v>
                </c:pt>
                <c:pt idx="2">
                  <c:v>65</c:v>
                </c:pt>
                <c:pt idx="3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CD9-4DF4-B1B0-259C284E97C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74866367"/>
        <c:axId val="274866847"/>
      </c:scatterChart>
      <c:valAx>
        <c:axId val="27486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Battery</a:t>
                </a:r>
                <a:r>
                  <a:rPr lang="en-IN" baseline="0"/>
                  <a:t> age 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66847"/>
        <c:crosses val="autoZero"/>
        <c:crossBetween val="midCat"/>
      </c:valAx>
      <c:valAx>
        <c:axId val="2748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Remaining capacity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6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365878</xdr:colOff>
      <xdr:row>20</xdr:row>
      <xdr:rowOff>183994</xdr:rowOff>
    </xdr:from>
    <xdr:to>
      <xdr:col>4</xdr:col>
      <xdr:colOff>758562</xdr:colOff>
      <xdr:row>35</xdr:row>
      <xdr:rowOff>157787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9909A4-2337-E2A3-A4BF-2A6D0C468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21B2-EB01-499B-B3CA-A09C71CEE020}">
  <dimension ref="A1:K38"/>
  <sheetViews>
    <sheetView tabSelected="1" zoomScaleNormal="100" workbookViewId="0">
      <selection activeCell="F32" sqref="F32"/>
    </sheetView>
  </sheetViews>
  <sheetFormatPr defaultColWidth="12.85546875" defaultRowHeight="14.15"/>
  <cols>
    <col min="1" max="1" width="20.42578125" bestFit="1" customWidth="1"/>
    <col min="2" max="2" width="13.42578125" bestFit="1" customWidth="1"/>
    <col min="3" max="3" width="13.5" bestFit="1" customWidth="1"/>
    <col min="4" max="4" width="7.35546875" bestFit="1" customWidth="1"/>
    <col min="5" max="5" width="15.0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11">
      <c r="A2" t="s">
        <v>16</v>
      </c>
      <c r="B2">
        <v>1</v>
      </c>
      <c r="C2">
        <v>1</v>
      </c>
      <c r="D2">
        <v>1</v>
      </c>
      <c r="E2">
        <v>1</v>
      </c>
    </row>
    <row r="3" spans="1:11">
      <c r="A3" t="s">
        <v>5</v>
      </c>
      <c r="B3">
        <v>1</v>
      </c>
      <c r="C3">
        <v>3</v>
      </c>
      <c r="D3">
        <v>6</v>
      </c>
      <c r="E3">
        <v>9</v>
      </c>
      <c r="F3">
        <f>AVERAGE(B3:E3)</f>
        <v>4.75</v>
      </c>
    </row>
    <row r="4" spans="1:11">
      <c r="A4" t="s">
        <v>6</v>
      </c>
      <c r="B4">
        <v>15000</v>
      </c>
      <c r="C4">
        <v>58000</v>
      </c>
      <c r="D4">
        <v>210000</v>
      </c>
      <c r="E4">
        <v>300000</v>
      </c>
      <c r="F4">
        <f t="shared" ref="F4:F5" si="0">AVERAGE(B4:E4)</f>
        <v>145750</v>
      </c>
    </row>
    <row r="5" spans="1:11">
      <c r="A5" t="s">
        <v>7</v>
      </c>
      <c r="B5">
        <v>96</v>
      </c>
      <c r="C5">
        <v>89</v>
      </c>
      <c r="D5">
        <v>65</v>
      </c>
      <c r="E5">
        <v>56</v>
      </c>
      <c r="F5">
        <f t="shared" si="0"/>
        <v>76.5</v>
      </c>
    </row>
    <row r="6" spans="1:11" ht="14.6" thickBot="1"/>
    <row r="7" spans="1:11" ht="15.45">
      <c r="A7" t="s">
        <v>11</v>
      </c>
      <c r="G7" s="5" t="s">
        <v>17</v>
      </c>
      <c r="H7" s="6">
        <v>1</v>
      </c>
      <c r="I7" s="6">
        <v>1</v>
      </c>
      <c r="J7" s="6">
        <v>1</v>
      </c>
      <c r="K7" s="7">
        <v>1</v>
      </c>
    </row>
    <row r="8" spans="1:11">
      <c r="A8" t="s">
        <v>10</v>
      </c>
      <c r="B8" s="3">
        <f>F5-(B9*F3)</f>
        <v>101.89795918367346</v>
      </c>
      <c r="G8" s="8"/>
      <c r="H8" s="4">
        <v>1</v>
      </c>
      <c r="I8" s="4">
        <v>3</v>
      </c>
      <c r="J8" s="4">
        <v>6</v>
      </c>
      <c r="K8" s="9">
        <v>9</v>
      </c>
    </row>
    <row r="9" spans="1:11" ht="14.6" thickBot="1">
      <c r="A9" t="s">
        <v>9</v>
      </c>
      <c r="B9" s="3">
        <f>SUM((B3-F3)*(B5-F5),(C3-F3)*(C5-F5),(D3-F3)*(D5-F5),(E3-F3)*(E5-F5))/SUM((B3-F3)^2,(C3-F3)^2,(D3-F3)^2,(E3-F3)^2)</f>
        <v>-5.3469387755102042</v>
      </c>
      <c r="G9" s="10"/>
      <c r="H9" s="11">
        <v>15000</v>
      </c>
      <c r="I9" s="11">
        <v>58000</v>
      </c>
      <c r="J9" s="11">
        <v>210000</v>
      </c>
      <c r="K9" s="12">
        <v>300000</v>
      </c>
    </row>
    <row r="10" spans="1:11" ht="14.6" thickBot="1"/>
    <row r="11" spans="1:11">
      <c r="A11" t="s">
        <v>12</v>
      </c>
      <c r="G11" s="5" t="s">
        <v>18</v>
      </c>
      <c r="H11" s="6" cm="1">
        <f t="array" ref="H11:J14">TRANSPOSE(H7:K9)</f>
        <v>1</v>
      </c>
      <c r="I11" s="6">
        <v>1</v>
      </c>
      <c r="J11" s="7">
        <v>15000</v>
      </c>
      <c r="K11" s="4"/>
    </row>
    <row r="12" spans="1:11">
      <c r="A12" t="s">
        <v>13</v>
      </c>
      <c r="B12" s="2">
        <f>B8+(B9*D3)</f>
        <v>69.81632653061223</v>
      </c>
      <c r="G12" s="8"/>
      <c r="H12" s="4">
        <v>1</v>
      </c>
      <c r="I12" s="4">
        <v>3</v>
      </c>
      <c r="J12" s="9">
        <v>58000</v>
      </c>
      <c r="K12" s="4"/>
    </row>
    <row r="13" spans="1:11">
      <c r="G13" s="8"/>
      <c r="H13" s="4">
        <v>1</v>
      </c>
      <c r="I13" s="4">
        <v>6</v>
      </c>
      <c r="J13" s="9">
        <v>210000</v>
      </c>
      <c r="K13" s="4"/>
    </row>
    <row r="14" spans="1:11" ht="14.6" thickBot="1">
      <c r="A14" t="s">
        <v>14</v>
      </c>
      <c r="G14" s="10"/>
      <c r="H14" s="11">
        <v>1</v>
      </c>
      <c r="I14" s="11">
        <v>9</v>
      </c>
      <c r="J14" s="12">
        <v>300000</v>
      </c>
      <c r="K14" s="4"/>
    </row>
    <row r="15" spans="1:11" ht="15.45">
      <c r="A15" t="s">
        <v>22</v>
      </c>
    </row>
    <row r="16" spans="1:11" ht="14.6" thickBot="1">
      <c r="A16" t="s">
        <v>10</v>
      </c>
      <c r="B16" s="3" cm="1">
        <f t="array" ref="B16:B18">MMULT(MMULT(MINVERSE(MMULT(B2:E4,TRANSPOSE(B2:E4))),B2:E4),TRANSPOSE(B5:E5))</f>
        <v>95.842494164522535</v>
      </c>
    </row>
    <row r="17" spans="1:11" ht="15.45">
      <c r="A17" t="s">
        <v>9</v>
      </c>
      <c r="B17" s="3">
        <v>1.6301199803751274</v>
      </c>
      <c r="G17" s="5" t="s">
        <v>19</v>
      </c>
      <c r="H17" s="6" cm="1">
        <f t="array" ref="H17:J19">MMULT(H7:K9,_xlfn.ANCHORARRAY(H11))</f>
        <v>4</v>
      </c>
      <c r="I17" s="6">
        <v>19</v>
      </c>
      <c r="J17" s="7">
        <v>583000</v>
      </c>
      <c r="K17" s="4"/>
    </row>
    <row r="18" spans="1:11">
      <c r="A18" t="s">
        <v>15</v>
      </c>
      <c r="B18" s="1">
        <v>-1.8583577407412823E-4</v>
      </c>
      <c r="G18" s="8"/>
      <c r="H18" s="4">
        <v>19</v>
      </c>
      <c r="I18" s="4">
        <v>127</v>
      </c>
      <c r="J18" s="9">
        <v>4149000</v>
      </c>
      <c r="K18" s="4"/>
    </row>
    <row r="19" spans="1:11" ht="14.6" thickBot="1">
      <c r="A19" t="s">
        <v>13</v>
      </c>
      <c r="B19" s="3">
        <f>B16+(B17*D3)+(B18*D4)</f>
        <v>66.597701491206379</v>
      </c>
      <c r="G19" s="10"/>
      <c r="H19" s="11">
        <v>583000</v>
      </c>
      <c r="I19" s="11">
        <v>4149000</v>
      </c>
      <c r="J19" s="12">
        <v>137689000000</v>
      </c>
      <c r="K19" s="4"/>
    </row>
    <row r="21" spans="1:11" ht="14.6" thickBot="1">
      <c r="A21" t="s">
        <v>25</v>
      </c>
    </row>
    <row r="22" spans="1:11" ht="15.45">
      <c r="G22" s="5" t="s">
        <v>20</v>
      </c>
      <c r="H22" s="6" cm="1">
        <f t="array" ref="H22:J24">MINVERSE(_xlfn.ANCHORARRAY(H17))</f>
        <v>2.0242190868408478</v>
      </c>
      <c r="I22" s="6">
        <v>-1.4661096326251823</v>
      </c>
      <c r="J22" s="7">
        <v>3.560755861494865E-5</v>
      </c>
    </row>
    <row r="23" spans="1:11">
      <c r="G23" s="8"/>
      <c r="H23" s="4">
        <v>-1.466109632625181</v>
      </c>
      <c r="I23" s="4">
        <v>1.5675279879871313</v>
      </c>
      <c r="J23" s="9">
        <v>-4.1026746554467873E-5</v>
      </c>
    </row>
    <row r="24" spans="1:11" ht="14.6" thickBot="1">
      <c r="G24" s="10"/>
      <c r="H24" s="11">
        <v>3.560755861494863E-5</v>
      </c>
      <c r="I24" s="11">
        <v>-4.1026746554467866E-5</v>
      </c>
      <c r="J24" s="12">
        <v>1.092758061878379E-9</v>
      </c>
    </row>
    <row r="26" spans="1:11" ht="14.6" thickBot="1"/>
    <row r="27" spans="1:11" ht="15.45">
      <c r="G27" s="5" t="s">
        <v>21</v>
      </c>
      <c r="H27" s="6" cm="1">
        <f t="array" ref="H27:K29">MMULT(_xlfn.ANCHORARRAY(H22),H7:K9)</f>
        <v>1.0922228334398953</v>
      </c>
      <c r="I27" s="6">
        <v>-0.30887141136767804</v>
      </c>
      <c r="J27" s="6">
        <v>0.70514860022896908</v>
      </c>
      <c r="K27" s="7">
        <v>-0.48850002230119749</v>
      </c>
    </row>
    <row r="28" spans="1:11">
      <c r="G28" s="8"/>
      <c r="H28" s="4">
        <v>-0.5139828429550678</v>
      </c>
      <c r="I28" s="4">
        <v>0.85692303117707658</v>
      </c>
      <c r="J28" s="4">
        <v>-0.67655848114064643</v>
      </c>
      <c r="K28" s="9">
        <v>0.33361829291863998</v>
      </c>
    </row>
    <row r="29" spans="1:11" ht="14.6" thickBot="1">
      <c r="G29" s="10"/>
      <c r="H29" s="11">
        <v>1.097218298865645E-5</v>
      </c>
      <c r="I29" s="11">
        <v>-2.4092713459508987E-5</v>
      </c>
      <c r="J29" s="11">
        <v>1.8926272282601036E-5</v>
      </c>
      <c r="K29" s="12">
        <v>-5.8057418117484784E-6</v>
      </c>
    </row>
    <row r="30" spans="1:11" ht="14.6" thickBot="1"/>
    <row r="31" spans="1:11">
      <c r="G31" s="5" t="s">
        <v>23</v>
      </c>
      <c r="H31" s="7" cm="1">
        <f t="array" ref="H31:H34">TRANSPOSE(B5:E5)</f>
        <v>96</v>
      </c>
    </row>
    <row r="32" spans="1:11">
      <c r="G32" s="8"/>
      <c r="H32" s="9">
        <v>89</v>
      </c>
    </row>
    <row r="33" spans="7:8">
      <c r="G33" s="8"/>
      <c r="H33" s="9">
        <v>65</v>
      </c>
    </row>
    <row r="34" spans="7:8" ht="14.6" thickBot="1">
      <c r="G34" s="10"/>
      <c r="H34" s="12">
        <v>56</v>
      </c>
    </row>
    <row r="35" spans="7:8" ht="14.6" thickBot="1"/>
    <row r="36" spans="7:8">
      <c r="G36" s="5" t="s">
        <v>24</v>
      </c>
      <c r="H36" s="13" cm="1">
        <f t="array" ref="H36:H38">MMULT(_xlfn.ANCHORARRAY(H27),_xlfn.ANCHORARRAY(H31))</f>
        <v>95.842494164522535</v>
      </c>
    </row>
    <row r="37" spans="7:8">
      <c r="G37" s="8"/>
      <c r="H37" s="14">
        <v>1.6301199803751274</v>
      </c>
    </row>
    <row r="38" spans="7:8" ht="14.6" thickBot="1">
      <c r="G38" s="10"/>
      <c r="H38" s="15">
        <v>-1.8583577407412823E-4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Dilip Patil</dc:creator>
  <cp:lastModifiedBy>Abhishek Dilip Patil</cp:lastModifiedBy>
  <dcterms:created xsi:type="dcterms:W3CDTF">2025-11-25T16:17:55Z</dcterms:created>
  <dcterms:modified xsi:type="dcterms:W3CDTF">2025-11-25T22:09:00Z</dcterms:modified>
</cp:coreProperties>
</file>