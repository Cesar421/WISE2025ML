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walter\Desktop\Cesar\WISE2025ML\H3\"/>
    </mc:Choice>
  </mc:AlternateContent>
  <xr:revisionPtr revIDLastSave="0" documentId="13_ncr:1_{04A3A80F-0471-47B2-A78E-9562F843CF29}" xr6:coauthVersionLast="47" xr6:coauthVersionMax="47" xr10:uidLastSave="{00000000-0000-0000-0000-000000000000}"/>
  <bookViews>
    <workbookView xWindow="-120" yWindow="-120" windowWidth="29040" windowHeight="17520" activeTab="3" xr2:uid="{2922CA38-4BC8-41E8-91B8-20DA95763515}"/>
  </bookViews>
  <sheets>
    <sheet name="Sheet1" sheetId="1" r:id="rId1"/>
    <sheet name="Sheet2" sheetId="2" r:id="rId2"/>
    <sheet name="Sheet4" sheetId="4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1" i="5"/>
  <c r="D23" i="5"/>
  <c r="O45" i="4"/>
  <c r="F18" i="4"/>
  <c r="J14" i="4" a="1"/>
  <c r="J14" i="4" s="1"/>
  <c r="H14" i="4"/>
  <c r="D25" i="4"/>
  <c r="D24" i="4"/>
  <c r="F21" i="4"/>
  <c r="E14" i="4" a="1"/>
  <c r="E14" i="4" s="1"/>
  <c r="G60" i="4"/>
  <c r="H54" i="4"/>
  <c r="G61" i="4" s="1"/>
  <c r="D47" i="4"/>
  <c r="D46" i="4"/>
  <c r="H36" i="4"/>
  <c r="F43" i="4" s="1"/>
  <c r="E36" i="4" a="1"/>
  <c r="E36" i="4" s="1"/>
  <c r="J36" i="4" s="1" a="1"/>
  <c r="J36" i="4" s="1"/>
  <c r="F40" i="4" s="1"/>
  <c r="E43" i="4" s="1"/>
  <c r="H42" i="4" s="1" a="1"/>
  <c r="X48" i="2" a="1"/>
  <c r="X48" i="2" s="1"/>
  <c r="AA48" i="2" s="1" a="1"/>
  <c r="AA48" i="2" s="1"/>
  <c r="U46" i="2"/>
  <c r="U45" i="2"/>
  <c r="U44" i="2"/>
  <c r="U43" i="2"/>
  <c r="U42" i="2"/>
  <c r="R43" i="2"/>
  <c r="R36" i="2"/>
  <c r="R33" i="2"/>
  <c r="R32" i="2"/>
  <c r="R27" i="2"/>
  <c r="R26" i="2"/>
  <c r="R20" i="2"/>
  <c r="R19" i="2"/>
  <c r="R18" i="2"/>
  <c r="S16" i="2"/>
  <c r="R16" i="2"/>
  <c r="N206" i="2"/>
  <c r="M206" i="2"/>
  <c r="M208" i="2" s="1"/>
  <c r="M209" i="2" s="1"/>
  <c r="M210" i="2" s="1"/>
  <c r="N196" i="2"/>
  <c r="M196" i="2"/>
  <c r="M198" i="2" s="1"/>
  <c r="M199" i="2" s="1"/>
  <c r="M200" i="2" s="1"/>
  <c r="N186" i="2"/>
  <c r="M186" i="2"/>
  <c r="M188" i="2" s="1"/>
  <c r="M189" i="2" s="1"/>
  <c r="M190" i="2" s="1"/>
  <c r="N176" i="2"/>
  <c r="M176" i="2"/>
  <c r="M178" i="2" s="1"/>
  <c r="M179" i="2" s="1"/>
  <c r="M180" i="2" s="1"/>
  <c r="N166" i="2"/>
  <c r="M166" i="2"/>
  <c r="M168" i="2" s="1"/>
  <c r="M169" i="2" s="1"/>
  <c r="M170" i="2" s="1"/>
  <c r="N156" i="2"/>
  <c r="M156" i="2"/>
  <c r="M158" i="2" s="1"/>
  <c r="M159" i="2" s="1"/>
  <c r="M160" i="2" s="1"/>
  <c r="N146" i="2"/>
  <c r="M146" i="2"/>
  <c r="M148" i="2" s="1"/>
  <c r="M149" i="2" s="1"/>
  <c r="M150" i="2" s="1"/>
  <c r="N136" i="2"/>
  <c r="M136" i="2"/>
  <c r="M138" i="2" s="1"/>
  <c r="M139" i="2" s="1"/>
  <c r="M140" i="2" s="1"/>
  <c r="N126" i="2"/>
  <c r="M126" i="2"/>
  <c r="M128" i="2" s="1"/>
  <c r="M129" i="2" s="1"/>
  <c r="M130" i="2" s="1"/>
  <c r="N116" i="2"/>
  <c r="M116" i="2"/>
  <c r="M118" i="2" s="1"/>
  <c r="M119" i="2" s="1"/>
  <c r="M120" i="2" s="1"/>
  <c r="N106" i="2"/>
  <c r="M106" i="2"/>
  <c r="M108" i="2" s="1"/>
  <c r="M109" i="2" s="1"/>
  <c r="M110" i="2" s="1"/>
  <c r="N96" i="2"/>
  <c r="M96" i="2"/>
  <c r="M98" i="2" s="1"/>
  <c r="M99" i="2" s="1"/>
  <c r="M100" i="2" s="1"/>
  <c r="N86" i="2"/>
  <c r="M86" i="2"/>
  <c r="M88" i="2" s="1"/>
  <c r="M89" i="2" s="1"/>
  <c r="M90" i="2" s="1"/>
  <c r="N76" i="2"/>
  <c r="M76" i="2"/>
  <c r="M78" i="2" s="1"/>
  <c r="M79" i="2" s="1"/>
  <c r="M80" i="2" s="1"/>
  <c r="N66" i="2"/>
  <c r="M66" i="2"/>
  <c r="M68" i="2" s="1"/>
  <c r="M69" i="2" s="1"/>
  <c r="M70" i="2" s="1"/>
  <c r="N56" i="2"/>
  <c r="M56" i="2"/>
  <c r="M58" i="2" s="1"/>
  <c r="M59" i="2" s="1"/>
  <c r="M60" i="2" s="1"/>
  <c r="N46" i="2"/>
  <c r="M46" i="2"/>
  <c r="M48" i="2" s="1"/>
  <c r="M49" i="2" s="1"/>
  <c r="M50" i="2" s="1"/>
  <c r="N36" i="2"/>
  <c r="M36" i="2"/>
  <c r="M38" i="2" s="1"/>
  <c r="M39" i="2" s="1"/>
  <c r="M40" i="2" s="1"/>
  <c r="N31" i="2"/>
  <c r="M31" i="2"/>
  <c r="M30" i="2"/>
  <c r="M29" i="2"/>
  <c r="M28" i="2"/>
  <c r="N26" i="2"/>
  <c r="M26" i="2"/>
  <c r="H18" i="2"/>
  <c r="H19" i="2" s="1"/>
  <c r="H20" i="2" s="1"/>
  <c r="H21" i="2" s="1"/>
  <c r="H26" i="2" s="1"/>
  <c r="M7" i="1"/>
  <c r="L7" i="1"/>
  <c r="K7" i="1"/>
  <c r="J7" i="1"/>
  <c r="I7" i="1"/>
  <c r="H7" i="1"/>
  <c r="G7" i="1"/>
  <c r="F7" i="1"/>
  <c r="E21" i="4" l="1"/>
  <c r="H20" i="4" s="1" a="1"/>
  <c r="F25" i="4" s="1"/>
  <c r="H42" i="4"/>
  <c r="F46" i="4" s="1"/>
  <c r="F47" i="4"/>
  <c r="S21" i="2"/>
  <c r="N211" i="2"/>
  <c r="M211" i="2"/>
  <c r="N201" i="2"/>
  <c r="M201" i="2"/>
  <c r="N191" i="2"/>
  <c r="M191" i="2"/>
  <c r="N181" i="2"/>
  <c r="M181" i="2"/>
  <c r="N171" i="2"/>
  <c r="M171" i="2"/>
  <c r="N161" i="2"/>
  <c r="M161" i="2"/>
  <c r="N151" i="2"/>
  <c r="M151" i="2"/>
  <c r="N141" i="2"/>
  <c r="M141" i="2"/>
  <c r="N131" i="2"/>
  <c r="M131" i="2"/>
  <c r="N121" i="2"/>
  <c r="M121" i="2"/>
  <c r="N111" i="2"/>
  <c r="M111" i="2"/>
  <c r="N101" i="2"/>
  <c r="M101" i="2"/>
  <c r="N91" i="2"/>
  <c r="M91" i="2"/>
  <c r="N81" i="2"/>
  <c r="M81" i="2"/>
  <c r="M71" i="2"/>
  <c r="N71" i="2"/>
  <c r="N61" i="2"/>
  <c r="M61" i="2"/>
  <c r="N51" i="2"/>
  <c r="M51" i="2"/>
  <c r="N41" i="2"/>
  <c r="M41" i="2"/>
  <c r="I21" i="2"/>
  <c r="I26" i="2" s="1"/>
  <c r="H28" i="2" s="1"/>
  <c r="H29" i="2" s="1"/>
  <c r="H30" i="2" s="1"/>
  <c r="H20" i="4" l="1"/>
  <c r="F24" i="4" s="1"/>
  <c r="H24" i="4" s="1" a="1"/>
  <c r="H24" i="4" s="1"/>
  <c r="H46" i="4" a="1"/>
  <c r="R21" i="2"/>
  <c r="I31" i="2"/>
  <c r="I36" i="2" s="1"/>
  <c r="H31" i="2"/>
  <c r="H36" i="2" s="1"/>
  <c r="H38" i="2" s="1"/>
  <c r="H39" i="2" s="1"/>
  <c r="H40" i="2" s="1"/>
  <c r="H46" i="4" l="1"/>
  <c r="E53" i="4" s="1"/>
  <c r="F53" i="4"/>
  <c r="D64" i="4" s="1"/>
  <c r="I41" i="2"/>
  <c r="I46" i="2" s="1"/>
  <c r="H41" i="2"/>
  <c r="H46" i="2" s="1"/>
  <c r="H48" i="2" s="1"/>
  <c r="H49" i="2" s="1"/>
  <c r="H50" i="2" s="1"/>
  <c r="J53" i="4" l="1" a="1"/>
  <c r="J53" i="4" s="1"/>
  <c r="E56" i="4" s="1"/>
  <c r="F60" i="4" s="1"/>
  <c r="I60" i="4" s="1" a="1"/>
  <c r="D63" i="4"/>
  <c r="I51" i="2"/>
  <c r="I56" i="2" s="1"/>
  <c r="H51" i="2"/>
  <c r="H56" i="2" s="1"/>
  <c r="H58" i="2" s="1"/>
  <c r="H59" i="2" s="1"/>
  <c r="H60" i="2" s="1"/>
  <c r="I60" i="4" l="1"/>
  <c r="F63" i="4" s="1"/>
  <c r="F64" i="4"/>
  <c r="I61" i="2"/>
  <c r="I66" i="2" s="1"/>
  <c r="H61" i="2"/>
  <c r="H66" i="2" s="1"/>
  <c r="H68" i="2" s="1"/>
  <c r="H69" i="2" s="1"/>
  <c r="H70" i="2" s="1"/>
  <c r="H63" i="4" l="1" a="1"/>
  <c r="H63" i="4" s="1"/>
  <c r="H71" i="2"/>
  <c r="H76" i="2" s="1"/>
  <c r="I71" i="2"/>
  <c r="I76" i="2" s="1"/>
  <c r="H78" i="2" l="1"/>
  <c r="H79" i="2" s="1"/>
  <c r="H80" i="2" s="1"/>
  <c r="I81" i="2" l="1"/>
  <c r="I86" i="2" s="1"/>
  <c r="H81" i="2"/>
  <c r="H86" i="2" s="1"/>
  <c r="H88" i="2" s="1"/>
  <c r="H89" i="2" s="1"/>
  <c r="H90" i="2" s="1"/>
  <c r="I91" i="2" l="1"/>
  <c r="I96" i="2" s="1"/>
  <c r="H91" i="2"/>
  <c r="H96" i="2" s="1"/>
  <c r="H98" i="2" s="1"/>
  <c r="H99" i="2" s="1"/>
  <c r="H100" i="2" s="1"/>
  <c r="I101" i="2" l="1"/>
  <c r="I106" i="2" s="1"/>
  <c r="H101" i="2"/>
  <c r="H106" i="2" s="1"/>
  <c r="H108" i="2" s="1"/>
  <c r="H109" i="2" s="1"/>
  <c r="H110" i="2" s="1"/>
  <c r="H111" i="2" l="1"/>
  <c r="H116" i="2" s="1"/>
  <c r="I111" i="2"/>
  <c r="I116" i="2" s="1"/>
  <c r="H118" i="2" l="1"/>
  <c r="H119" i="2" s="1"/>
  <c r="H120" i="2" s="1"/>
  <c r="H121" i="2" l="1"/>
  <c r="H126" i="2" s="1"/>
  <c r="I121" i="2"/>
  <c r="I126" i="2" s="1"/>
  <c r="H128" i="2" l="1"/>
  <c r="H129" i="2" s="1"/>
  <c r="H130" i="2" s="1"/>
  <c r="I131" i="2" l="1"/>
  <c r="I136" i="2" s="1"/>
  <c r="H131" i="2"/>
  <c r="H136" i="2" s="1"/>
  <c r="H138" i="2" s="1"/>
  <c r="H139" i="2" s="1"/>
  <c r="H140" i="2" s="1"/>
  <c r="I141" i="2" l="1"/>
  <c r="I146" i="2" s="1"/>
  <c r="H141" i="2"/>
  <c r="H146" i="2" s="1"/>
  <c r="H148" i="2" s="1"/>
  <c r="H149" i="2" s="1"/>
  <c r="H150" i="2" s="1"/>
  <c r="H151" i="2" l="1"/>
  <c r="H156" i="2" s="1"/>
  <c r="I151" i="2"/>
  <c r="I156" i="2" s="1"/>
  <c r="H158" i="2" l="1"/>
  <c r="H159" i="2" s="1"/>
  <c r="H160" i="2" s="1"/>
  <c r="I161" i="2" l="1"/>
  <c r="I166" i="2" s="1"/>
  <c r="H161" i="2"/>
  <c r="H166" i="2" s="1"/>
  <c r="H168" i="2" l="1"/>
  <c r="H169" i="2" s="1"/>
  <c r="H170" i="2" s="1"/>
  <c r="H171" i="2" l="1"/>
  <c r="H176" i="2" s="1"/>
  <c r="I171" i="2"/>
  <c r="I176" i="2" s="1"/>
  <c r="H178" i="2" l="1"/>
  <c r="H179" i="2" s="1"/>
  <c r="H180" i="2" s="1"/>
  <c r="I181" i="2" l="1"/>
  <c r="I186" i="2" s="1"/>
  <c r="H181" i="2"/>
  <c r="H186" i="2" s="1"/>
  <c r="H188" i="2" s="1"/>
  <c r="H189" i="2" s="1"/>
  <c r="H190" i="2" s="1"/>
  <c r="H191" i="2" l="1"/>
  <c r="H196" i="2" s="1"/>
  <c r="I191" i="2"/>
  <c r="I196" i="2" s="1"/>
  <c r="H198" i="2" l="1"/>
  <c r="H199" i="2" s="1"/>
  <c r="H200" i="2" s="1"/>
  <c r="I201" i="2" l="1"/>
  <c r="I206" i="2" s="1"/>
  <c r="H201" i="2"/>
  <c r="H206" i="2" s="1"/>
  <c r="H208" i="2" s="1"/>
  <c r="H209" i="2" s="1"/>
  <c r="H210" i="2" s="1"/>
  <c r="I211" i="2" l="1"/>
  <c r="N16" i="2" s="1"/>
  <c r="H211" i="2"/>
  <c r="M16" i="2" s="1"/>
  <c r="M18" i="2" s="1"/>
  <c r="M19" i="2" s="1"/>
  <c r="M20" i="2" s="1"/>
  <c r="N21" i="2" l="1"/>
  <c r="M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<sst xmlns="http://schemas.openxmlformats.org/spreadsheetml/2006/main" count="276" uniqueCount="31">
  <si>
    <t>GMT+1</t>
  </si>
  <si>
    <t>GMT-8</t>
  </si>
  <si>
    <t>GMT-7</t>
  </si>
  <si>
    <t>GMT-6</t>
  </si>
  <si>
    <t>GMT-5</t>
  </si>
  <si>
    <t>x1</t>
  </si>
  <si>
    <t>c</t>
  </si>
  <si>
    <t>x2</t>
  </si>
  <si>
    <t>x3</t>
  </si>
  <si>
    <t>w1</t>
  </si>
  <si>
    <t>w0</t>
  </si>
  <si>
    <t>y(x)</t>
  </si>
  <si>
    <t>error</t>
  </si>
  <si>
    <t>delta w</t>
  </si>
  <si>
    <t>neta</t>
  </si>
  <si>
    <t>y</t>
  </si>
  <si>
    <t>w</t>
  </si>
  <si>
    <t>x</t>
  </si>
  <si>
    <t>X</t>
  </si>
  <si>
    <t>=</t>
  </si>
  <si>
    <t>1)</t>
  </si>
  <si>
    <t>2)</t>
  </si>
  <si>
    <t>3)</t>
  </si>
  <si>
    <t>4)</t>
  </si>
  <si>
    <t>calculo delta</t>
  </si>
  <si>
    <t>Error</t>
  </si>
  <si>
    <t>Prediccion</t>
  </si>
  <si>
    <t>X2</t>
  </si>
  <si>
    <t>X3</t>
  </si>
  <si>
    <t xml:space="preserve">y 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</si>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</sst>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Sheet3!$I$1:$I$41</c:f>
              <c:numCache>
                <c:formatCode>General</c:formatCode>
                <c:ptCount val="41"/>
                <c:pt idx="0">
                  <c:v>-10</c:v>
                </c:pt>
                <c:pt idx="1">
                  <c:v>-8</c:v>
                </c:pt>
                <c:pt idx="2">
                  <c:v>-7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0.3</c:v>
                </c:pt>
                <c:pt idx="12">
                  <c:v>0.4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0.8</c:v>
                </c:pt>
                <c:pt idx="17">
                  <c:v>0.9</c:v>
                </c:pt>
                <c:pt idx="18">
                  <c:v>1</c:v>
                </c:pt>
                <c:pt idx="19">
                  <c:v>1.1000000000000001</c:v>
                </c:pt>
                <c:pt idx="20">
                  <c:v>1.2</c:v>
                </c:pt>
                <c:pt idx="21">
                  <c:v>1.3</c:v>
                </c:pt>
                <c:pt idx="22">
                  <c:v>1.4</c:v>
                </c:pt>
                <c:pt idx="23">
                  <c:v>1.5</c:v>
                </c:pt>
                <c:pt idx="24">
                  <c:v>1.6</c:v>
                </c:pt>
                <c:pt idx="25">
                  <c:v>1.7</c:v>
                </c:pt>
                <c:pt idx="26">
                  <c:v>1.8</c:v>
                </c:pt>
                <c:pt idx="27">
                  <c:v>1.9</c:v>
                </c:pt>
                <c:pt idx="28">
                  <c:v>2</c:v>
                </c:pt>
                <c:pt idx="29">
                  <c:v>2.1</c:v>
                </c:pt>
                <c:pt idx="30">
                  <c:v>2.2000000000000002</c:v>
                </c:pt>
                <c:pt idx="31">
                  <c:v>2.2999999999999998</c:v>
                </c:pt>
                <c:pt idx="32">
                  <c:v>2.4</c:v>
                </c:pt>
                <c:pt idx="33">
                  <c:v>2.5</c:v>
                </c:pt>
                <c:pt idx="34">
                  <c:v>2.6</c:v>
                </c:pt>
                <c:pt idx="35">
                  <c:v>2.7</c:v>
                </c:pt>
                <c:pt idx="36">
                  <c:v>2.8</c:v>
                </c:pt>
                <c:pt idx="37">
                  <c:v>2.9</c:v>
                </c:pt>
                <c:pt idx="38">
                  <c:v>3</c:v>
                </c:pt>
                <c:pt idx="39">
                  <c:v>4</c:v>
                </c:pt>
                <c:pt idx="40">
                  <c:v>27</c:v>
                </c:pt>
              </c:numCache>
            </c:numRef>
          </c:xVal>
          <c:yVal>
            <c:numRef>
              <c:f>Sheet3!$J$1:$J$41</c:f>
              <c:numCache>
                <c:formatCode>General</c:formatCode>
                <c:ptCount val="41"/>
                <c:pt idx="0">
                  <c:v>4.5399929762484854E-5</c:v>
                </c:pt>
                <c:pt idx="1">
                  <c:v>3.3546262790251185E-4</c:v>
                </c:pt>
                <c:pt idx="2">
                  <c:v>9.1188196555451624E-4</c:v>
                </c:pt>
                <c:pt idx="3">
                  <c:v>6.737946999085467E-3</c:v>
                </c:pt>
                <c:pt idx="4">
                  <c:v>1.8315638888734179E-2</c:v>
                </c:pt>
                <c:pt idx="5">
                  <c:v>4.9787068367863944E-2</c:v>
                </c:pt>
                <c:pt idx="6">
                  <c:v>0.1353352832366127</c:v>
                </c:pt>
                <c:pt idx="7">
                  <c:v>0.36787944117144233</c:v>
                </c:pt>
                <c:pt idx="8">
                  <c:v>1</c:v>
                </c:pt>
                <c:pt idx="9">
                  <c:v>1.1051709180756477</c:v>
                </c:pt>
                <c:pt idx="10">
                  <c:v>1.2214027581601699</c:v>
                </c:pt>
                <c:pt idx="11">
                  <c:v>1.3498588075760032</c:v>
                </c:pt>
                <c:pt idx="12">
                  <c:v>1.4918246976412703</c:v>
                </c:pt>
                <c:pt idx="13">
                  <c:v>1.6487212707001282</c:v>
                </c:pt>
                <c:pt idx="14">
                  <c:v>1.8221188003905089</c:v>
                </c:pt>
                <c:pt idx="15">
                  <c:v>2.0137527074704766</c:v>
                </c:pt>
                <c:pt idx="16">
                  <c:v>2.2255409284924679</c:v>
                </c:pt>
                <c:pt idx="17">
                  <c:v>2.4596031111569499</c:v>
                </c:pt>
                <c:pt idx="18">
                  <c:v>2.7182818284590451</c:v>
                </c:pt>
                <c:pt idx="19">
                  <c:v>3.0041660239464334</c:v>
                </c:pt>
                <c:pt idx="20">
                  <c:v>3.3201169227365472</c:v>
                </c:pt>
                <c:pt idx="21">
                  <c:v>3.6692966676192444</c:v>
                </c:pt>
                <c:pt idx="22">
                  <c:v>4.0551999668446745</c:v>
                </c:pt>
                <c:pt idx="23">
                  <c:v>4.4816890703380645</c:v>
                </c:pt>
                <c:pt idx="24">
                  <c:v>4.9530324243951149</c:v>
                </c:pt>
                <c:pt idx="25">
                  <c:v>5.4739473917271999</c:v>
                </c:pt>
                <c:pt idx="26">
                  <c:v>6.0496474644129465</c:v>
                </c:pt>
                <c:pt idx="27">
                  <c:v>6.6858944422792685</c:v>
                </c:pt>
                <c:pt idx="28">
                  <c:v>7.3890560989306504</c:v>
                </c:pt>
                <c:pt idx="29">
                  <c:v>8.1661699125676517</c:v>
                </c:pt>
                <c:pt idx="30">
                  <c:v>9.025013499434122</c:v>
                </c:pt>
                <c:pt idx="31">
                  <c:v>9.9741824548147182</c:v>
                </c:pt>
                <c:pt idx="32">
                  <c:v>11.023176380641601</c:v>
                </c:pt>
                <c:pt idx="33">
                  <c:v>12.182493960703473</c:v>
                </c:pt>
                <c:pt idx="34">
                  <c:v>13.463738035001692</c:v>
                </c:pt>
                <c:pt idx="35">
                  <c:v>14.879731724872837</c:v>
                </c:pt>
                <c:pt idx="36">
                  <c:v>16.444646771097048</c:v>
                </c:pt>
                <c:pt idx="37">
                  <c:v>18.17414536944306</c:v>
                </c:pt>
                <c:pt idx="38">
                  <c:v>20.085536923187668</c:v>
                </c:pt>
                <c:pt idx="39">
                  <c:v>54.598150033144236</c:v>
                </c:pt>
                <c:pt idx="40">
                  <c:v>532048240601.79865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3-442F-85DA-2941645A6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34736"/>
        <c:axId val="654627520"/>
      </c:scatterChart>
      <c:valAx>
        <c:axId val="65463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27520"/>
        <c:crosses val="autoZero"/>
        <c:crossBetween val="midCat"/>
      </c:valAx>
      <c:valAx>
        <c:axId val="6546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10</xdr:row>
      <xdr:rowOff>23812</xdr:rowOff>
    </xdr:from>
    <xdr:to>
      <xdr:col>22</xdr:col>
      <xdr:colOff>190500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5F9E0-BBF9-41EC-B446-718D388E1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59B-2BBA-4211-B366-0E3515F7C0D2}">
  <dimension ref="A6:M11"/>
  <sheetViews>
    <sheetView workbookViewId="0">
      <selection activeCell="E8" sqref="E8"/>
    </sheetView>
  </sheetViews>
  <sheetFormatPr defaultRowHeight="15" x14ac:dyDescent="0.25"/>
  <cols>
    <col min="4" max="5" width="9.140625" style="5"/>
    <col min="6" max="6" width="11.85546875" style="5" customWidth="1"/>
    <col min="7" max="13" width="9.140625" style="5"/>
  </cols>
  <sheetData>
    <row r="6" spans="1:13" x14ac:dyDescent="0.25">
      <c r="D6" s="6" t="s">
        <v>0</v>
      </c>
      <c r="E6" s="6"/>
      <c r="F6" s="6" t="s">
        <v>1</v>
      </c>
      <c r="G6" s="6"/>
      <c r="H6" s="6" t="s">
        <v>2</v>
      </c>
      <c r="I6" s="6"/>
      <c r="J6" s="6" t="s">
        <v>3</v>
      </c>
      <c r="K6" s="6"/>
      <c r="L6" s="6" t="s">
        <v>4</v>
      </c>
      <c r="M6" s="6"/>
    </row>
    <row r="7" spans="1:13" x14ac:dyDescent="0.25">
      <c r="A7" s="3" t="s">
        <v>0</v>
      </c>
      <c r="B7" s="1">
        <v>0.375</v>
      </c>
      <c r="D7" s="4">
        <v>0.41666666666666669</v>
      </c>
      <c r="E7" s="4">
        <v>0.70833333333333337</v>
      </c>
      <c r="F7" s="4">
        <f>+B7-B7</f>
        <v>0</v>
      </c>
      <c r="G7" s="4">
        <f>+E7-B7</f>
        <v>0.33333333333333337</v>
      </c>
      <c r="H7" s="4">
        <f>+D7-B8</f>
        <v>8.333333333333337E-2</v>
      </c>
      <c r="I7" s="4">
        <f>+E7-B9</f>
        <v>0.41666666666666635</v>
      </c>
      <c r="J7" s="4">
        <f>+D7-B10</f>
        <v>0.16666666666666669</v>
      </c>
      <c r="K7" s="4">
        <f>+E7-B10</f>
        <v>0.45833333333333337</v>
      </c>
      <c r="L7" s="4">
        <f>+D7-B11</f>
        <v>0.20833333333333368</v>
      </c>
      <c r="M7" s="4">
        <f>+E7-B11</f>
        <v>0.50000000000000033</v>
      </c>
    </row>
    <row r="8" spans="1:13" x14ac:dyDescent="0.25">
      <c r="A8" s="3" t="s">
        <v>1</v>
      </c>
      <c r="B8" s="1">
        <v>0.33333333333333331</v>
      </c>
      <c r="F8" s="4"/>
    </row>
    <row r="9" spans="1:13" x14ac:dyDescent="0.25">
      <c r="A9" s="3" t="s">
        <v>2</v>
      </c>
      <c r="B9" s="1">
        <v>0.29166666666666702</v>
      </c>
    </row>
    <row r="10" spans="1:13" x14ac:dyDescent="0.25">
      <c r="A10" s="3" t="s">
        <v>3</v>
      </c>
      <c r="B10" s="1">
        <v>0.25</v>
      </c>
    </row>
    <row r="11" spans="1:13" x14ac:dyDescent="0.25">
      <c r="A11" s="3" t="s">
        <v>4</v>
      </c>
      <c r="B11" s="1">
        <v>0.20833333333333301</v>
      </c>
    </row>
  </sheetData>
  <mergeCells count="5">
    <mergeCell ref="D6:E6"/>
    <mergeCell ref="F6:G6"/>
    <mergeCell ref="H6:I6"/>
    <mergeCell ref="J6:K6"/>
    <mergeCell ref="L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69F2-4071-42BF-86BC-60D6C71BC85D}">
  <dimension ref="F7:AA211"/>
  <sheetViews>
    <sheetView workbookViewId="0">
      <selection activeCell="AA48" sqref="AA48"/>
    </sheetView>
  </sheetViews>
  <sheetFormatPr defaultRowHeight="15" x14ac:dyDescent="0.25"/>
  <sheetData>
    <row r="7" spans="6:19" x14ac:dyDescent="0.25">
      <c r="I7" s="5"/>
      <c r="J7" s="5"/>
      <c r="K7" s="5"/>
      <c r="L7" s="5"/>
    </row>
    <row r="8" spans="6:19" x14ac:dyDescent="0.25">
      <c r="I8" s="5"/>
      <c r="J8" s="5" t="s">
        <v>5</v>
      </c>
      <c r="K8" s="5" t="s">
        <v>6</v>
      </c>
      <c r="L8" s="5"/>
    </row>
    <row r="9" spans="6:19" x14ac:dyDescent="0.25">
      <c r="F9" t="s">
        <v>14</v>
      </c>
      <c r="I9" s="5" t="s">
        <v>5</v>
      </c>
      <c r="J9" s="5">
        <v>5</v>
      </c>
      <c r="K9" s="5">
        <v>1</v>
      </c>
      <c r="L9" s="5"/>
    </row>
    <row r="10" spans="6:19" x14ac:dyDescent="0.25">
      <c r="F10">
        <v>0.01</v>
      </c>
      <c r="I10" s="5" t="s">
        <v>7</v>
      </c>
      <c r="J10" s="5">
        <v>2</v>
      </c>
      <c r="K10" s="5">
        <v>-1</v>
      </c>
      <c r="L10" s="5"/>
    </row>
    <row r="11" spans="6:19" x14ac:dyDescent="0.25">
      <c r="I11" s="5" t="s">
        <v>8</v>
      </c>
      <c r="J11" s="5">
        <v>7</v>
      </c>
      <c r="K11" s="5">
        <v>1</v>
      </c>
      <c r="L11" s="5"/>
    </row>
    <row r="12" spans="6:19" x14ac:dyDescent="0.25">
      <c r="I12" s="5"/>
      <c r="J12" s="5"/>
      <c r="K12" s="5"/>
      <c r="L12" s="5"/>
    </row>
    <row r="15" spans="6:19" x14ac:dyDescent="0.25">
      <c r="F15">
        <v>1</v>
      </c>
      <c r="H15" t="s">
        <v>9</v>
      </c>
      <c r="I15" t="s">
        <v>10</v>
      </c>
      <c r="K15">
        <v>2</v>
      </c>
      <c r="M15" t="s">
        <v>9</v>
      </c>
      <c r="N15" t="s">
        <v>10</v>
      </c>
      <c r="P15">
        <v>2</v>
      </c>
      <c r="R15" t="s">
        <v>9</v>
      </c>
      <c r="S15" t="s">
        <v>10</v>
      </c>
    </row>
    <row r="16" spans="6:19" x14ac:dyDescent="0.25">
      <c r="H16">
        <v>6</v>
      </c>
      <c r="I16">
        <v>1</v>
      </c>
      <c r="M16">
        <f>+H211</f>
        <v>1.0030623480861274</v>
      </c>
      <c r="N16">
        <f>+I211</f>
        <v>-3.9969376519138717</v>
      </c>
      <c r="R16">
        <f>+M211</f>
        <v>1.2001634815089519</v>
      </c>
      <c r="S16">
        <f>+N211</f>
        <v>-3.7998365184910483</v>
      </c>
    </row>
    <row r="18" spans="6:19" x14ac:dyDescent="0.25">
      <c r="F18" t="s">
        <v>11</v>
      </c>
      <c r="H18">
        <f>+$J$9*H16+I16</f>
        <v>31</v>
      </c>
      <c r="K18" t="s">
        <v>11</v>
      </c>
      <c r="M18">
        <f>+$J$11*M16+N16</f>
        <v>3.0244987846890203</v>
      </c>
      <c r="P18" t="s">
        <v>11</v>
      </c>
      <c r="R18">
        <f>+$J$9*R16+S16</f>
        <v>2.200980889053711</v>
      </c>
    </row>
    <row r="19" spans="6:19" x14ac:dyDescent="0.25">
      <c r="F19" t="s">
        <v>12</v>
      </c>
      <c r="H19">
        <f>+$K$9-H18</f>
        <v>-30</v>
      </c>
      <c r="K19" t="s">
        <v>12</v>
      </c>
      <c r="M19">
        <f>+$K$9-M18</f>
        <v>-2.0244987846890203</v>
      </c>
      <c r="P19" t="s">
        <v>12</v>
      </c>
      <c r="R19">
        <f>+$K$9-R18</f>
        <v>-1.200980889053711</v>
      </c>
    </row>
    <row r="20" spans="6:19" x14ac:dyDescent="0.25">
      <c r="F20" t="s">
        <v>13</v>
      </c>
      <c r="H20">
        <f>+$F$10*H19*$J$9</f>
        <v>-1.5</v>
      </c>
      <c r="K20" t="s">
        <v>13</v>
      </c>
      <c r="M20">
        <f>+$F$10*M19*$J$9</f>
        <v>-0.10122493923445101</v>
      </c>
      <c r="P20" t="s">
        <v>13</v>
      </c>
      <c r="R20">
        <f>+$F$10*R19*$J$10</f>
        <v>-2.4019617781074223E-2</v>
      </c>
    </row>
    <row r="21" spans="6:19" x14ac:dyDescent="0.25">
      <c r="H21">
        <f>+H20+H16</f>
        <v>4.5</v>
      </c>
      <c r="I21">
        <f>+H20+I16</f>
        <v>-0.5</v>
      </c>
      <c r="M21">
        <f>+M20+M16</f>
        <v>0.9018374088516764</v>
      </c>
      <c r="N21">
        <f>+M20+N16</f>
        <v>-4.0981625911483226</v>
      </c>
      <c r="R21">
        <f>+R20+R16</f>
        <v>1.1761438637278776</v>
      </c>
      <c r="S21">
        <f>+R20+S16</f>
        <v>-3.8238561362721226</v>
      </c>
    </row>
    <row r="25" spans="6:19" x14ac:dyDescent="0.25">
      <c r="F25">
        <v>2</v>
      </c>
      <c r="H25" t="s">
        <v>9</v>
      </c>
      <c r="I25" t="s">
        <v>10</v>
      </c>
      <c r="K25">
        <v>2</v>
      </c>
      <c r="M25" t="s">
        <v>9</v>
      </c>
      <c r="N25" t="s">
        <v>10</v>
      </c>
    </row>
    <row r="26" spans="6:19" x14ac:dyDescent="0.25">
      <c r="H26">
        <f>+H21</f>
        <v>4.5</v>
      </c>
      <c r="I26">
        <f>+I21</f>
        <v>-0.5</v>
      </c>
      <c r="M26">
        <f>+M21</f>
        <v>0.9018374088516764</v>
      </c>
      <c r="N26">
        <f>+N21</f>
        <v>-4.0981625911483226</v>
      </c>
      <c r="R26">
        <f>5*-4*0.01</f>
        <v>-0.2</v>
      </c>
    </row>
    <row r="27" spans="6:19" x14ac:dyDescent="0.25">
      <c r="R27">
        <f>1+R26</f>
        <v>0.8</v>
      </c>
    </row>
    <row r="28" spans="6:19" x14ac:dyDescent="0.25">
      <c r="F28" t="s">
        <v>11</v>
      </c>
      <c r="H28">
        <f>+$J$10*H26+I26</f>
        <v>8.5</v>
      </c>
      <c r="K28" t="s">
        <v>11</v>
      </c>
      <c r="M28">
        <f>+$J$10*M26+N26</f>
        <v>-2.2944877734449696</v>
      </c>
    </row>
    <row r="29" spans="6:19" x14ac:dyDescent="0.25">
      <c r="F29" t="s">
        <v>12</v>
      </c>
      <c r="H29">
        <f>+$K$10-H28</f>
        <v>-9.5</v>
      </c>
      <c r="K29" t="s">
        <v>12</v>
      </c>
      <c r="M29">
        <f>+$K$10-M28</f>
        <v>1.2944877734449696</v>
      </c>
    </row>
    <row r="30" spans="6:19" x14ac:dyDescent="0.25">
      <c r="F30" t="s">
        <v>13</v>
      </c>
      <c r="H30">
        <f>+$F$10*H29*$J$10</f>
        <v>-0.19</v>
      </c>
      <c r="K30" t="s">
        <v>13</v>
      </c>
      <c r="M30">
        <f>+$F$10*M29*$J$10</f>
        <v>2.5889755468899392E-2</v>
      </c>
    </row>
    <row r="31" spans="6:19" x14ac:dyDescent="0.25">
      <c r="H31">
        <f>+H30+H26</f>
        <v>4.3099999999999996</v>
      </c>
      <c r="I31">
        <f>+H30+I26</f>
        <v>-0.69</v>
      </c>
      <c r="M31">
        <f>+M30+M26</f>
        <v>0.92772716432057578</v>
      </c>
      <c r="N31">
        <f>+M30+N26</f>
        <v>-4.0722728356794233</v>
      </c>
    </row>
    <row r="32" spans="6:19" x14ac:dyDescent="0.25">
      <c r="R32">
        <f>0.01*-4</f>
        <v>-0.04</v>
      </c>
    </row>
    <row r="33" spans="6:27" x14ac:dyDescent="0.25">
      <c r="R33">
        <f>20*0.01</f>
        <v>0.2</v>
      </c>
    </row>
    <row r="35" spans="6:27" x14ac:dyDescent="0.25">
      <c r="F35">
        <v>2</v>
      </c>
      <c r="H35" t="s">
        <v>9</v>
      </c>
      <c r="I35" t="s">
        <v>10</v>
      </c>
      <c r="K35">
        <v>2</v>
      </c>
      <c r="M35" t="s">
        <v>9</v>
      </c>
      <c r="N35" t="s">
        <v>10</v>
      </c>
    </row>
    <row r="36" spans="6:27" x14ac:dyDescent="0.25">
      <c r="H36">
        <f>+H31</f>
        <v>4.3099999999999996</v>
      </c>
      <c r="I36">
        <f>+I31</f>
        <v>-0.69</v>
      </c>
      <c r="M36">
        <f>+M31</f>
        <v>0.92772716432057578</v>
      </c>
      <c r="N36">
        <f>+N31</f>
        <v>-4.0722728356794233</v>
      </c>
      <c r="R36">
        <f>-0.04+5*0.8</f>
        <v>3.96</v>
      </c>
    </row>
    <row r="38" spans="6:27" x14ac:dyDescent="0.25">
      <c r="F38" t="s">
        <v>11</v>
      </c>
      <c r="H38">
        <f>+$J$11*H36+I36</f>
        <v>29.479999999999997</v>
      </c>
      <c r="K38" t="s">
        <v>11</v>
      </c>
      <c r="M38">
        <f>+$J$10*M36+N36</f>
        <v>-2.2168185070382718</v>
      </c>
    </row>
    <row r="39" spans="6:27" x14ac:dyDescent="0.25">
      <c r="F39" t="s">
        <v>12</v>
      </c>
      <c r="H39">
        <f>+$K$11-H38</f>
        <v>-28.479999999999997</v>
      </c>
      <c r="K39" t="s">
        <v>12</v>
      </c>
      <c r="M39">
        <f>+$K$10-M38</f>
        <v>1.2168185070382718</v>
      </c>
    </row>
    <row r="40" spans="6:27" x14ac:dyDescent="0.25">
      <c r="F40" t="s">
        <v>13</v>
      </c>
      <c r="H40">
        <f>+$F$10*H39*$J$11</f>
        <v>-1.9936</v>
      </c>
      <c r="K40" t="s">
        <v>13</v>
      </c>
      <c r="M40">
        <f>+$F$10*M39*$J$10</f>
        <v>2.4336370140765437E-2</v>
      </c>
    </row>
    <row r="41" spans="6:27" x14ac:dyDescent="0.25">
      <c r="H41">
        <f>+H40+H36</f>
        <v>2.3163999999999998</v>
      </c>
      <c r="I41">
        <f>+H40+I36</f>
        <v>-2.6836000000000002</v>
      </c>
      <c r="M41">
        <f>+M40+M36</f>
        <v>0.95206353446134118</v>
      </c>
      <c r="N41">
        <f>+M40+N36</f>
        <v>-4.0479364655386583</v>
      </c>
    </row>
    <row r="42" spans="6:27" x14ac:dyDescent="0.25">
      <c r="U42">
        <f>0.8*2-0.04</f>
        <v>1.56</v>
      </c>
    </row>
    <row r="43" spans="6:27" x14ac:dyDescent="0.25">
      <c r="R43">
        <f>0.5*(1-3.96)^2</f>
        <v>4.3807999999999998</v>
      </c>
      <c r="U43">
        <f>-1-U42</f>
        <v>-2.56</v>
      </c>
    </row>
    <row r="44" spans="6:27" x14ac:dyDescent="0.25">
      <c r="U44">
        <f>+U43^2</f>
        <v>6.5536000000000003</v>
      </c>
    </row>
    <row r="45" spans="6:27" x14ac:dyDescent="0.25">
      <c r="F45">
        <v>2</v>
      </c>
      <c r="H45" t="s">
        <v>9</v>
      </c>
      <c r="I45" t="s">
        <v>10</v>
      </c>
      <c r="K45">
        <v>2</v>
      </c>
      <c r="M45" t="s">
        <v>9</v>
      </c>
      <c r="N45" t="s">
        <v>10</v>
      </c>
      <c r="U45">
        <f>+U44/2</f>
        <v>3.2768000000000002</v>
      </c>
    </row>
    <row r="46" spans="6:27" x14ac:dyDescent="0.25">
      <c r="H46">
        <f>+H41</f>
        <v>2.3163999999999998</v>
      </c>
      <c r="I46">
        <f>+I41</f>
        <v>-2.6836000000000002</v>
      </c>
      <c r="M46">
        <f>+M41</f>
        <v>0.95206353446134118</v>
      </c>
      <c r="N46">
        <f>+N41</f>
        <v>-4.0479364655386583</v>
      </c>
      <c r="U46">
        <f>2.56*2</f>
        <v>5.12</v>
      </c>
    </row>
    <row r="48" spans="6:27" x14ac:dyDescent="0.25">
      <c r="F48" t="s">
        <v>11</v>
      </c>
      <c r="H48">
        <f>+$J$9*H46+I46</f>
        <v>8.8983999999999988</v>
      </c>
      <c r="K48" t="s">
        <v>11</v>
      </c>
      <c r="M48">
        <f>+$J$10*M46+N46</f>
        <v>-2.1438093966159757</v>
      </c>
      <c r="R48">
        <v>-0.04</v>
      </c>
      <c r="U48">
        <v>-2.56</v>
      </c>
      <c r="X48" cm="1">
        <f t="array" ref="X48:X49">+T49*U48:U49</f>
        <v>-2.5600000000000001E-2</v>
      </c>
      <c r="AA48" cm="1">
        <f t="array" ref="AA48:AA49">+_xlfn.ANCHORARRAY(X48)+R48:R49</f>
        <v>-6.5600000000000006E-2</v>
      </c>
    </row>
    <row r="49" spans="6:27" x14ac:dyDescent="0.25">
      <c r="F49" t="s">
        <v>12</v>
      </c>
      <c r="H49">
        <f>+$K$9-H48</f>
        <v>-7.8983999999999988</v>
      </c>
      <c r="K49" t="s">
        <v>12</v>
      </c>
      <c r="M49">
        <f>+$K$10-M48</f>
        <v>1.1438093966159757</v>
      </c>
      <c r="R49">
        <v>0.8</v>
      </c>
      <c r="T49">
        <v>0.01</v>
      </c>
      <c r="U49">
        <v>-5.12</v>
      </c>
      <c r="X49">
        <v>-5.1200000000000002E-2</v>
      </c>
      <c r="AA49">
        <v>0.74880000000000002</v>
      </c>
    </row>
    <row r="50" spans="6:27" x14ac:dyDescent="0.25">
      <c r="F50" t="s">
        <v>13</v>
      </c>
      <c r="H50">
        <f>+$F$10*H49*$J$9</f>
        <v>-0.39491999999999994</v>
      </c>
      <c r="K50" t="s">
        <v>13</v>
      </c>
      <c r="M50">
        <f>+$F$10*M49*$J$10</f>
        <v>2.2876187932319516E-2</v>
      </c>
    </row>
    <row r="51" spans="6:27" x14ac:dyDescent="0.25">
      <c r="H51">
        <f>+H50+H46</f>
        <v>1.9214799999999999</v>
      </c>
      <c r="I51">
        <f>+H50+I46</f>
        <v>-3.0785200000000001</v>
      </c>
      <c r="M51">
        <f>+M50+M46</f>
        <v>0.97493972239366067</v>
      </c>
      <c r="N51">
        <f>+M50+N46</f>
        <v>-4.0250602776063387</v>
      </c>
    </row>
    <row r="55" spans="6:27" x14ac:dyDescent="0.25">
      <c r="F55">
        <v>2</v>
      </c>
      <c r="H55" t="s">
        <v>9</v>
      </c>
      <c r="I55" t="s">
        <v>10</v>
      </c>
      <c r="K55">
        <v>2</v>
      </c>
      <c r="M55" t="s">
        <v>9</v>
      </c>
      <c r="N55" t="s">
        <v>10</v>
      </c>
    </row>
    <row r="56" spans="6:27" x14ac:dyDescent="0.25">
      <c r="H56">
        <f>+H51</f>
        <v>1.9214799999999999</v>
      </c>
      <c r="I56">
        <f>+I51</f>
        <v>-3.0785200000000001</v>
      </c>
      <c r="M56">
        <f>+M51</f>
        <v>0.97493972239366067</v>
      </c>
      <c r="N56">
        <f>+N51</f>
        <v>-4.0250602776063387</v>
      </c>
    </row>
    <row r="58" spans="6:27" x14ac:dyDescent="0.25">
      <c r="F58" t="s">
        <v>11</v>
      </c>
      <c r="H58">
        <f>+$J$9*H56+I56</f>
        <v>6.5288799999999982</v>
      </c>
      <c r="K58" t="s">
        <v>11</v>
      </c>
      <c r="M58">
        <f>+$J$10*M56+N56</f>
        <v>-2.0751808328190173</v>
      </c>
    </row>
    <row r="59" spans="6:27" x14ac:dyDescent="0.25">
      <c r="F59" t="s">
        <v>12</v>
      </c>
      <c r="H59">
        <f>+$K$9-H58</f>
        <v>-5.5288799999999982</v>
      </c>
      <c r="K59" t="s">
        <v>12</v>
      </c>
      <c r="M59">
        <f>+$K$10-M58</f>
        <v>1.0751808328190173</v>
      </c>
    </row>
    <row r="60" spans="6:27" x14ac:dyDescent="0.25">
      <c r="F60" t="s">
        <v>13</v>
      </c>
      <c r="H60">
        <f>+$F$10*H59*$J$9</f>
        <v>-0.27644399999999991</v>
      </c>
      <c r="K60" t="s">
        <v>13</v>
      </c>
      <c r="M60">
        <f>+$F$10*M59*$J$10</f>
        <v>2.1503616656380346E-2</v>
      </c>
    </row>
    <row r="61" spans="6:27" x14ac:dyDescent="0.25">
      <c r="H61">
        <f>+H60+H56</f>
        <v>1.6450359999999999</v>
      </c>
      <c r="I61">
        <f>+H60+I56</f>
        <v>-3.3549639999999998</v>
      </c>
      <c r="M61">
        <f>+M60+M56</f>
        <v>0.99644333905004101</v>
      </c>
      <c r="N61">
        <f>+M60+N56</f>
        <v>-4.0035566609499584</v>
      </c>
    </row>
    <row r="65" spans="6:14" x14ac:dyDescent="0.25">
      <c r="F65">
        <v>2</v>
      </c>
      <c r="H65" t="s">
        <v>9</v>
      </c>
      <c r="I65" t="s">
        <v>10</v>
      </c>
      <c r="K65">
        <v>2</v>
      </c>
      <c r="M65" t="s">
        <v>9</v>
      </c>
      <c r="N65" t="s">
        <v>10</v>
      </c>
    </row>
    <row r="66" spans="6:14" x14ac:dyDescent="0.25">
      <c r="H66">
        <f>+H61</f>
        <v>1.6450359999999999</v>
      </c>
      <c r="I66">
        <f>+I61</f>
        <v>-3.3549639999999998</v>
      </c>
      <c r="M66">
        <f>+M61</f>
        <v>0.99644333905004101</v>
      </c>
      <c r="N66">
        <f>+N61</f>
        <v>-4.0035566609499584</v>
      </c>
    </row>
    <row r="68" spans="6:14" x14ac:dyDescent="0.25">
      <c r="F68" t="s">
        <v>11</v>
      </c>
      <c r="H68">
        <f>+$J$9*H66+I66</f>
        <v>4.8702160000000001</v>
      </c>
      <c r="K68" t="s">
        <v>11</v>
      </c>
      <c r="M68">
        <f>+$J$10*M66+N66</f>
        <v>-2.0106699828498762</v>
      </c>
    </row>
    <row r="69" spans="6:14" x14ac:dyDescent="0.25">
      <c r="F69" t="s">
        <v>12</v>
      </c>
      <c r="H69">
        <f>+$K$9-H68</f>
        <v>-3.8702160000000001</v>
      </c>
      <c r="K69" t="s">
        <v>12</v>
      </c>
      <c r="M69">
        <f>+$K$10-M68</f>
        <v>1.0106699828498762</v>
      </c>
    </row>
    <row r="70" spans="6:14" x14ac:dyDescent="0.25">
      <c r="F70" t="s">
        <v>13</v>
      </c>
      <c r="H70">
        <f>+$F$10*H69*$J$9</f>
        <v>-0.19351079999999998</v>
      </c>
      <c r="K70" t="s">
        <v>13</v>
      </c>
      <c r="M70">
        <f>+$F$10*M69*$J$10</f>
        <v>2.0213399656997526E-2</v>
      </c>
    </row>
    <row r="71" spans="6:14" x14ac:dyDescent="0.25">
      <c r="H71">
        <f>+H70+H66</f>
        <v>1.4515251999999998</v>
      </c>
      <c r="I71">
        <f>+H70+I66</f>
        <v>-3.5484747999999997</v>
      </c>
      <c r="M71">
        <f>+M70+M66</f>
        <v>1.0166567387070384</v>
      </c>
      <c r="N71">
        <f>+M70+N66</f>
        <v>-3.9833432612929611</v>
      </c>
    </row>
    <row r="75" spans="6:14" x14ac:dyDescent="0.25">
      <c r="F75">
        <v>2</v>
      </c>
      <c r="H75" t="s">
        <v>9</v>
      </c>
      <c r="I75" t="s">
        <v>10</v>
      </c>
      <c r="K75">
        <v>2</v>
      </c>
      <c r="M75" t="s">
        <v>9</v>
      </c>
      <c r="N75" t="s">
        <v>10</v>
      </c>
    </row>
    <row r="76" spans="6:14" x14ac:dyDescent="0.25">
      <c r="H76">
        <f>+H71</f>
        <v>1.4515251999999998</v>
      </c>
      <c r="I76">
        <f>+I71</f>
        <v>-3.5484747999999997</v>
      </c>
      <c r="M76">
        <f>+M71</f>
        <v>1.0166567387070384</v>
      </c>
      <c r="N76">
        <f>+N71</f>
        <v>-3.9833432612929611</v>
      </c>
    </row>
    <row r="78" spans="6:14" x14ac:dyDescent="0.25">
      <c r="F78" t="s">
        <v>11</v>
      </c>
      <c r="H78">
        <f>+$J$9*H76+I76</f>
        <v>3.7091511999999995</v>
      </c>
      <c r="K78" t="s">
        <v>11</v>
      </c>
      <c r="M78">
        <f>+$J$10*M76+N76</f>
        <v>-1.9500297838788843</v>
      </c>
    </row>
    <row r="79" spans="6:14" x14ac:dyDescent="0.25">
      <c r="F79" t="s">
        <v>12</v>
      </c>
      <c r="H79">
        <f>+$K$9-H78</f>
        <v>-2.7091511999999995</v>
      </c>
      <c r="K79" t="s">
        <v>12</v>
      </c>
      <c r="M79">
        <f>+$K$10-M78</f>
        <v>0.95002978387888426</v>
      </c>
    </row>
    <row r="80" spans="6:14" x14ac:dyDescent="0.25">
      <c r="F80" t="s">
        <v>13</v>
      </c>
      <c r="H80">
        <f>+$F$10*H79*$J$9</f>
        <v>-0.13545755999999998</v>
      </c>
      <c r="K80" t="s">
        <v>13</v>
      </c>
      <c r="M80">
        <f>+$F$10*M79*$J$10</f>
        <v>1.9000595677577687E-2</v>
      </c>
    </row>
    <row r="81" spans="6:14" x14ac:dyDescent="0.25">
      <c r="H81">
        <f>+H80+H76</f>
        <v>1.31606764</v>
      </c>
      <c r="I81">
        <f>+H80+I76</f>
        <v>-3.6839323599999996</v>
      </c>
      <c r="M81">
        <f>+M80+M76</f>
        <v>1.035657334384616</v>
      </c>
      <c r="N81">
        <f>+M80+N76</f>
        <v>-3.9643426656153835</v>
      </c>
    </row>
    <row r="85" spans="6:14" x14ac:dyDescent="0.25">
      <c r="F85">
        <v>2</v>
      </c>
      <c r="H85" t="s">
        <v>9</v>
      </c>
      <c r="I85" t="s">
        <v>10</v>
      </c>
      <c r="K85">
        <v>2</v>
      </c>
      <c r="M85" t="s">
        <v>9</v>
      </c>
      <c r="N85" t="s">
        <v>10</v>
      </c>
    </row>
    <row r="86" spans="6:14" x14ac:dyDescent="0.25">
      <c r="H86">
        <f>+H81</f>
        <v>1.31606764</v>
      </c>
      <c r="I86">
        <f>+I81</f>
        <v>-3.6839323599999996</v>
      </c>
      <c r="M86">
        <f>+M81</f>
        <v>1.035657334384616</v>
      </c>
      <c r="N86">
        <f>+N81</f>
        <v>-3.9643426656153835</v>
      </c>
    </row>
    <row r="88" spans="6:14" x14ac:dyDescent="0.25">
      <c r="F88" t="s">
        <v>11</v>
      </c>
      <c r="H88">
        <f>+$J$9*H86+I86</f>
        <v>2.8964058400000003</v>
      </c>
      <c r="K88" t="s">
        <v>11</v>
      </c>
      <c r="M88">
        <f>+$J$10*M86+N86</f>
        <v>-1.8930279968461514</v>
      </c>
    </row>
    <row r="89" spans="6:14" x14ac:dyDescent="0.25">
      <c r="F89" t="s">
        <v>12</v>
      </c>
      <c r="H89">
        <f>+$K$9-H88</f>
        <v>-1.8964058400000003</v>
      </c>
      <c r="K89" t="s">
        <v>12</v>
      </c>
      <c r="M89">
        <f>+$K$10-M88</f>
        <v>0.89302799684615142</v>
      </c>
    </row>
    <row r="90" spans="6:14" x14ac:dyDescent="0.25">
      <c r="F90" t="s">
        <v>13</v>
      </c>
      <c r="H90">
        <f>+$F$10*H89*$J$9</f>
        <v>-9.4820292000000028E-2</v>
      </c>
      <c r="K90" t="s">
        <v>13</v>
      </c>
      <c r="M90">
        <f>+$F$10*M89*$J$10</f>
        <v>1.786055993692303E-2</v>
      </c>
    </row>
    <row r="91" spans="6:14" x14ac:dyDescent="0.25">
      <c r="H91">
        <f>+H90+H86</f>
        <v>1.2212473479999999</v>
      </c>
      <c r="I91">
        <f>+H90+I86</f>
        <v>-3.7787526519999997</v>
      </c>
      <c r="M91">
        <f>+M90+M86</f>
        <v>1.0535178943215391</v>
      </c>
      <c r="N91">
        <f>+M90+N86</f>
        <v>-3.9464821056784607</v>
      </c>
    </row>
    <row r="95" spans="6:14" x14ac:dyDescent="0.25">
      <c r="F95">
        <v>2</v>
      </c>
      <c r="H95" t="s">
        <v>9</v>
      </c>
      <c r="I95" t="s">
        <v>10</v>
      </c>
      <c r="K95">
        <v>2</v>
      </c>
      <c r="M95" t="s">
        <v>9</v>
      </c>
      <c r="N95" t="s">
        <v>10</v>
      </c>
    </row>
    <row r="96" spans="6:14" x14ac:dyDescent="0.25">
      <c r="H96">
        <f>+H91</f>
        <v>1.2212473479999999</v>
      </c>
      <c r="I96">
        <f>+I91</f>
        <v>-3.7787526519999997</v>
      </c>
      <c r="M96">
        <f>+M91</f>
        <v>1.0535178943215391</v>
      </c>
      <c r="N96">
        <f>+N91</f>
        <v>-3.9464821056784607</v>
      </c>
    </row>
    <row r="98" spans="6:14" x14ac:dyDescent="0.25">
      <c r="F98" t="s">
        <v>11</v>
      </c>
      <c r="H98">
        <f>+$J$9*H96+I96</f>
        <v>2.3274840880000003</v>
      </c>
      <c r="K98" t="s">
        <v>11</v>
      </c>
      <c r="M98">
        <f>+$J$10*M96+N96</f>
        <v>-1.8394463170353825</v>
      </c>
    </row>
    <row r="99" spans="6:14" x14ac:dyDescent="0.25">
      <c r="F99" t="s">
        <v>12</v>
      </c>
      <c r="H99">
        <f>+$K$9-H98</f>
        <v>-1.3274840880000003</v>
      </c>
      <c r="K99" t="s">
        <v>12</v>
      </c>
      <c r="M99">
        <f>+$K$10-M98</f>
        <v>0.83944631703538253</v>
      </c>
    </row>
    <row r="100" spans="6:14" x14ac:dyDescent="0.25">
      <c r="F100" t="s">
        <v>13</v>
      </c>
      <c r="H100">
        <f>+$F$10*H99*$J$9</f>
        <v>-6.6374204400000011E-2</v>
      </c>
      <c r="K100" t="s">
        <v>13</v>
      </c>
      <c r="M100">
        <f>+$F$10*M99*$J$10</f>
        <v>1.6788926340707652E-2</v>
      </c>
    </row>
    <row r="101" spans="6:14" x14ac:dyDescent="0.25">
      <c r="H101">
        <f>+H100+H96</f>
        <v>1.1548731435999999</v>
      </c>
      <c r="I101">
        <f>+H100+I96</f>
        <v>-3.8451268563999998</v>
      </c>
      <c r="M101">
        <f>+M100+M96</f>
        <v>1.0703068206622468</v>
      </c>
      <c r="N101">
        <f>+M100+N96</f>
        <v>-3.929693179337753</v>
      </c>
    </row>
    <row r="105" spans="6:14" x14ac:dyDescent="0.25">
      <c r="F105">
        <v>2</v>
      </c>
      <c r="H105" t="s">
        <v>9</v>
      </c>
      <c r="I105" t="s">
        <v>10</v>
      </c>
      <c r="K105">
        <v>2</v>
      </c>
      <c r="M105" t="s">
        <v>9</v>
      </c>
      <c r="N105" t="s">
        <v>10</v>
      </c>
    </row>
    <row r="106" spans="6:14" x14ac:dyDescent="0.25">
      <c r="H106">
        <f>+H101</f>
        <v>1.1548731435999999</v>
      </c>
      <c r="I106">
        <f>+I101</f>
        <v>-3.8451268563999998</v>
      </c>
      <c r="M106">
        <f>+M101</f>
        <v>1.0703068206622468</v>
      </c>
      <c r="N106">
        <f>+N101</f>
        <v>-3.929693179337753</v>
      </c>
    </row>
    <row r="108" spans="6:14" x14ac:dyDescent="0.25">
      <c r="F108" t="s">
        <v>11</v>
      </c>
      <c r="H108">
        <f>+$J$9*H106+I106</f>
        <v>1.9292388615999996</v>
      </c>
      <c r="K108" t="s">
        <v>11</v>
      </c>
      <c r="M108">
        <f>+$J$10*M106+N106</f>
        <v>-1.7890795380132594</v>
      </c>
    </row>
    <row r="109" spans="6:14" x14ac:dyDescent="0.25">
      <c r="F109" t="s">
        <v>12</v>
      </c>
      <c r="H109">
        <f>+$K$9-H108</f>
        <v>-0.92923886159999958</v>
      </c>
      <c r="K109" t="s">
        <v>12</v>
      </c>
      <c r="M109">
        <f>+$K$10-M108</f>
        <v>0.78907953801325936</v>
      </c>
    </row>
    <row r="110" spans="6:14" x14ac:dyDescent="0.25">
      <c r="F110" t="s">
        <v>13</v>
      </c>
      <c r="H110">
        <f>+$F$10*H109*$J$9</f>
        <v>-4.6461943079999984E-2</v>
      </c>
      <c r="K110" t="s">
        <v>13</v>
      </c>
      <c r="M110">
        <f>+$F$10*M109*$J$10</f>
        <v>1.5781590760265189E-2</v>
      </c>
    </row>
    <row r="111" spans="6:14" x14ac:dyDescent="0.25">
      <c r="H111">
        <f>+H110+H106</f>
        <v>1.10841120052</v>
      </c>
      <c r="I111">
        <f>+H110+I106</f>
        <v>-3.89158879948</v>
      </c>
      <c r="M111">
        <f>+M110+M106</f>
        <v>1.086088411422512</v>
      </c>
      <c r="N111">
        <f>+M110+N106</f>
        <v>-3.9139115885774878</v>
      </c>
    </row>
    <row r="115" spans="6:14" x14ac:dyDescent="0.25">
      <c r="F115">
        <v>2</v>
      </c>
      <c r="H115" t="s">
        <v>9</v>
      </c>
      <c r="I115" t="s">
        <v>10</v>
      </c>
      <c r="K115">
        <v>2</v>
      </c>
      <c r="M115" t="s">
        <v>9</v>
      </c>
      <c r="N115" t="s">
        <v>10</v>
      </c>
    </row>
    <row r="116" spans="6:14" x14ac:dyDescent="0.25">
      <c r="H116">
        <f>+H111</f>
        <v>1.10841120052</v>
      </c>
      <c r="I116">
        <f>+I111</f>
        <v>-3.89158879948</v>
      </c>
      <c r="M116">
        <f>+M111</f>
        <v>1.086088411422512</v>
      </c>
      <c r="N116">
        <f>+N111</f>
        <v>-3.9139115885774878</v>
      </c>
    </row>
    <row r="118" spans="6:14" x14ac:dyDescent="0.25">
      <c r="F118" t="s">
        <v>11</v>
      </c>
      <c r="H118">
        <f>+$J$9*H116+I116</f>
        <v>1.6504672031199998</v>
      </c>
      <c r="K118" t="s">
        <v>11</v>
      </c>
      <c r="M118">
        <f>+$J$10*M116+N116</f>
        <v>-1.7417347657324638</v>
      </c>
    </row>
    <row r="119" spans="6:14" x14ac:dyDescent="0.25">
      <c r="F119" t="s">
        <v>12</v>
      </c>
      <c r="H119">
        <f>+$K$9-H118</f>
        <v>-0.65046720311999984</v>
      </c>
      <c r="K119" t="s">
        <v>12</v>
      </c>
      <c r="M119">
        <f>+$K$10-M118</f>
        <v>0.74173476573246377</v>
      </c>
    </row>
    <row r="120" spans="6:14" x14ac:dyDescent="0.25">
      <c r="F120" t="s">
        <v>13</v>
      </c>
      <c r="H120">
        <f>+$F$10*H119*$J$9</f>
        <v>-3.2523360155999992E-2</v>
      </c>
      <c r="K120" t="s">
        <v>13</v>
      </c>
      <c r="M120">
        <f>+$F$10*M119*$J$10</f>
        <v>1.4834695314649276E-2</v>
      </c>
    </row>
    <row r="121" spans="6:14" x14ac:dyDescent="0.25">
      <c r="H121">
        <f>+H120+H116</f>
        <v>1.075887840364</v>
      </c>
      <c r="I121">
        <f>+H120+I116</f>
        <v>-3.924112159636</v>
      </c>
      <c r="M121">
        <f>+M120+M116</f>
        <v>1.1009231067371612</v>
      </c>
      <c r="N121">
        <f>+M120+N116</f>
        <v>-3.8990768932628384</v>
      </c>
    </row>
    <row r="125" spans="6:14" x14ac:dyDescent="0.25">
      <c r="F125">
        <v>2</v>
      </c>
      <c r="H125" t="s">
        <v>9</v>
      </c>
      <c r="I125" t="s">
        <v>10</v>
      </c>
      <c r="K125">
        <v>2</v>
      </c>
      <c r="M125" t="s">
        <v>9</v>
      </c>
      <c r="N125" t="s">
        <v>10</v>
      </c>
    </row>
    <row r="126" spans="6:14" x14ac:dyDescent="0.25">
      <c r="H126">
        <f>+H121</f>
        <v>1.075887840364</v>
      </c>
      <c r="I126">
        <f>+I121</f>
        <v>-3.924112159636</v>
      </c>
      <c r="M126">
        <f>+M121</f>
        <v>1.1009231067371612</v>
      </c>
      <c r="N126">
        <f>+N121</f>
        <v>-3.8990768932628384</v>
      </c>
    </row>
    <row r="128" spans="6:14" x14ac:dyDescent="0.25">
      <c r="F128" t="s">
        <v>11</v>
      </c>
      <c r="H128">
        <f>+$J$9*H126+I126</f>
        <v>1.4553270421840003</v>
      </c>
      <c r="K128" t="s">
        <v>11</v>
      </c>
      <c r="M128">
        <f>+$J$10*M126+N126</f>
        <v>-1.6972306797885159</v>
      </c>
    </row>
    <row r="129" spans="6:14" x14ac:dyDescent="0.25">
      <c r="F129" t="s">
        <v>12</v>
      </c>
      <c r="H129">
        <f>+$K$9-H128</f>
        <v>-0.45532704218400033</v>
      </c>
      <c r="K129" t="s">
        <v>12</v>
      </c>
      <c r="M129">
        <f>+$K$10-M128</f>
        <v>0.69723067978851594</v>
      </c>
    </row>
    <row r="130" spans="6:14" x14ac:dyDescent="0.25">
      <c r="F130" t="s">
        <v>13</v>
      </c>
      <c r="H130">
        <f>+$F$10*H129*$J$9</f>
        <v>-2.2766352109200021E-2</v>
      </c>
      <c r="K130" t="s">
        <v>13</v>
      </c>
      <c r="M130">
        <f>+$F$10*M129*$J$10</f>
        <v>1.3944613595770318E-2</v>
      </c>
    </row>
    <row r="131" spans="6:14" x14ac:dyDescent="0.25">
      <c r="H131">
        <f>+H130+H126</f>
        <v>1.0531214882547999</v>
      </c>
      <c r="I131">
        <f>+H130+I126</f>
        <v>-3.9468785117451999</v>
      </c>
      <c r="M131">
        <f>+M130+M126</f>
        <v>1.1148677203329316</v>
      </c>
      <c r="N131">
        <f>+M130+N126</f>
        <v>-3.8851322796670682</v>
      </c>
    </row>
    <row r="135" spans="6:14" x14ac:dyDescent="0.25">
      <c r="F135">
        <v>2</v>
      </c>
      <c r="H135" t="s">
        <v>9</v>
      </c>
      <c r="I135" t="s">
        <v>10</v>
      </c>
      <c r="K135">
        <v>2</v>
      </c>
      <c r="M135" t="s">
        <v>9</v>
      </c>
      <c r="N135" t="s">
        <v>10</v>
      </c>
    </row>
    <row r="136" spans="6:14" x14ac:dyDescent="0.25">
      <c r="H136">
        <f>+H131</f>
        <v>1.0531214882547999</v>
      </c>
      <c r="I136">
        <f>+I131</f>
        <v>-3.9468785117451999</v>
      </c>
      <c r="M136">
        <f>+M131</f>
        <v>1.1148677203329316</v>
      </c>
      <c r="N136">
        <f>+N131</f>
        <v>-3.8851322796670682</v>
      </c>
    </row>
    <row r="138" spans="6:14" x14ac:dyDescent="0.25">
      <c r="F138" t="s">
        <v>11</v>
      </c>
      <c r="H138">
        <f>+$J$9*H136+I136</f>
        <v>1.3187289295287998</v>
      </c>
      <c r="K138" t="s">
        <v>11</v>
      </c>
      <c r="M138">
        <f>+$J$10*M136+N136</f>
        <v>-1.655396839001205</v>
      </c>
    </row>
    <row r="139" spans="6:14" x14ac:dyDescent="0.25">
      <c r="F139" t="s">
        <v>12</v>
      </c>
      <c r="H139">
        <f>+$K$9-H138</f>
        <v>-0.31872892952879983</v>
      </c>
      <c r="K139" t="s">
        <v>12</v>
      </c>
      <c r="M139">
        <f>+$K$10-M138</f>
        <v>0.65539683900120504</v>
      </c>
    </row>
    <row r="140" spans="6:14" x14ac:dyDescent="0.25">
      <c r="F140" t="s">
        <v>13</v>
      </c>
      <c r="H140">
        <f>+$F$10*H139*$J$9</f>
        <v>-1.5936446476439992E-2</v>
      </c>
      <c r="K140" t="s">
        <v>13</v>
      </c>
      <c r="M140">
        <f>+$F$10*M139*$J$10</f>
        <v>1.3107936780024101E-2</v>
      </c>
    </row>
    <row r="141" spans="6:14" x14ac:dyDescent="0.25">
      <c r="H141">
        <f>+H140+H136</f>
        <v>1.0371850417783599</v>
      </c>
      <c r="I141">
        <f>+H140+I136</f>
        <v>-3.9628149582216396</v>
      </c>
      <c r="M141">
        <f>+M140+M136</f>
        <v>1.1279756571129558</v>
      </c>
      <c r="N141">
        <f>+M140+N136</f>
        <v>-3.8720243428870442</v>
      </c>
    </row>
    <row r="145" spans="6:14" x14ac:dyDescent="0.25">
      <c r="F145">
        <v>2</v>
      </c>
      <c r="H145" t="s">
        <v>9</v>
      </c>
      <c r="I145" t="s">
        <v>10</v>
      </c>
      <c r="K145">
        <v>2</v>
      </c>
      <c r="M145" t="s">
        <v>9</v>
      </c>
      <c r="N145" t="s">
        <v>10</v>
      </c>
    </row>
    <row r="146" spans="6:14" x14ac:dyDescent="0.25">
      <c r="H146">
        <f>+H141</f>
        <v>1.0371850417783599</v>
      </c>
      <c r="I146">
        <f>+I141</f>
        <v>-3.9628149582216396</v>
      </c>
      <c r="M146">
        <f>+M141</f>
        <v>1.1279756571129558</v>
      </c>
      <c r="N146">
        <f>+N141</f>
        <v>-3.8720243428870442</v>
      </c>
    </row>
    <row r="148" spans="6:14" x14ac:dyDescent="0.25">
      <c r="F148" t="s">
        <v>11</v>
      </c>
      <c r="H148">
        <f>+$J$9*H146+I146</f>
        <v>1.2231102506701594</v>
      </c>
      <c r="K148" t="s">
        <v>11</v>
      </c>
      <c r="M148">
        <f>+$J$10*M146+N146</f>
        <v>-1.6160730286611327</v>
      </c>
    </row>
    <row r="149" spans="6:14" x14ac:dyDescent="0.25">
      <c r="F149" t="s">
        <v>12</v>
      </c>
      <c r="H149">
        <f>+$K$9-H148</f>
        <v>-0.22311025067015944</v>
      </c>
      <c r="K149" t="s">
        <v>12</v>
      </c>
      <c r="M149">
        <f>+$K$10-M148</f>
        <v>0.61607302866113267</v>
      </c>
    </row>
    <row r="150" spans="6:14" x14ac:dyDescent="0.25">
      <c r="F150" t="s">
        <v>13</v>
      </c>
      <c r="H150">
        <f>+$F$10*H149*$J$9</f>
        <v>-1.1155512533507972E-2</v>
      </c>
      <c r="K150" t="s">
        <v>13</v>
      </c>
      <c r="M150">
        <f>+$F$10*M149*$J$10</f>
        <v>1.2321460573222654E-2</v>
      </c>
    </row>
    <row r="151" spans="6:14" x14ac:dyDescent="0.25">
      <c r="H151">
        <f>+H150+H146</f>
        <v>1.026029529244852</v>
      </c>
      <c r="I151">
        <f>+H150+I146</f>
        <v>-3.9739704707551478</v>
      </c>
      <c r="M151">
        <f>+M150+M146</f>
        <v>1.1402971176861785</v>
      </c>
      <c r="N151">
        <f>+M150+N146</f>
        <v>-3.8597028823138215</v>
      </c>
    </row>
    <row r="155" spans="6:14" x14ac:dyDescent="0.25">
      <c r="F155">
        <v>2</v>
      </c>
      <c r="H155" t="s">
        <v>9</v>
      </c>
      <c r="I155" t="s">
        <v>10</v>
      </c>
      <c r="K155">
        <v>2</v>
      </c>
      <c r="M155" t="s">
        <v>9</v>
      </c>
      <c r="N155" t="s">
        <v>10</v>
      </c>
    </row>
    <row r="156" spans="6:14" x14ac:dyDescent="0.25">
      <c r="H156">
        <f>+H151</f>
        <v>1.026029529244852</v>
      </c>
      <c r="I156">
        <f>+I151</f>
        <v>-3.9739704707551478</v>
      </c>
      <c r="M156">
        <f>+M151</f>
        <v>1.1402971176861785</v>
      </c>
      <c r="N156">
        <f>+N151</f>
        <v>-3.8597028823138215</v>
      </c>
    </row>
    <row r="158" spans="6:14" x14ac:dyDescent="0.25">
      <c r="F158" t="s">
        <v>11</v>
      </c>
      <c r="H158">
        <f>+$J$9*H156+I156</f>
        <v>1.1561771754691121</v>
      </c>
      <c r="K158" t="s">
        <v>11</v>
      </c>
      <c r="M158">
        <f>+$J$10*M156+N156</f>
        <v>-1.5791086469414646</v>
      </c>
    </row>
    <row r="159" spans="6:14" x14ac:dyDescent="0.25">
      <c r="F159" t="s">
        <v>12</v>
      </c>
      <c r="H159">
        <f>+$K$9-H158</f>
        <v>-0.15617717546911214</v>
      </c>
      <c r="K159" t="s">
        <v>12</v>
      </c>
      <c r="M159">
        <f>+$K$10-M158</f>
        <v>0.57910864694146458</v>
      </c>
    </row>
    <row r="160" spans="6:14" x14ac:dyDescent="0.25">
      <c r="F160" t="s">
        <v>13</v>
      </c>
      <c r="H160">
        <f>+$F$10*H159*$J$9</f>
        <v>-7.808858773455607E-3</v>
      </c>
      <c r="K160" t="s">
        <v>13</v>
      </c>
      <c r="M160">
        <f>+$F$10*M159*$J$10</f>
        <v>1.1582172938829292E-2</v>
      </c>
    </row>
    <row r="161" spans="6:14" x14ac:dyDescent="0.25">
      <c r="H161">
        <f>+H160+H156</f>
        <v>1.0182206704713965</v>
      </c>
      <c r="I161">
        <f>+H160+I156</f>
        <v>-3.9817793295286035</v>
      </c>
      <c r="M161">
        <f>+M160+M156</f>
        <v>1.1518792906250077</v>
      </c>
      <c r="N161">
        <f>+M160+N156</f>
        <v>-3.8481207093749923</v>
      </c>
    </row>
    <row r="165" spans="6:14" x14ac:dyDescent="0.25">
      <c r="F165">
        <v>2</v>
      </c>
      <c r="H165" t="s">
        <v>9</v>
      </c>
      <c r="I165" t="s">
        <v>10</v>
      </c>
      <c r="K165">
        <v>2</v>
      </c>
      <c r="M165" t="s">
        <v>9</v>
      </c>
      <c r="N165" t="s">
        <v>10</v>
      </c>
    </row>
    <row r="166" spans="6:14" x14ac:dyDescent="0.25">
      <c r="H166">
        <f>+H161</f>
        <v>1.0182206704713965</v>
      </c>
      <c r="I166">
        <f>+I161</f>
        <v>-3.9817793295286035</v>
      </c>
      <c r="M166">
        <f>+M161</f>
        <v>1.1518792906250077</v>
      </c>
      <c r="N166">
        <f>+N161</f>
        <v>-3.8481207093749923</v>
      </c>
    </row>
    <row r="168" spans="6:14" x14ac:dyDescent="0.25">
      <c r="F168" t="s">
        <v>11</v>
      </c>
      <c r="H168">
        <f>+$J$9*H166+I166</f>
        <v>1.1093240228283796</v>
      </c>
      <c r="K168" t="s">
        <v>11</v>
      </c>
      <c r="M168">
        <f>+$J$10*M166+N166</f>
        <v>-1.5443621281249769</v>
      </c>
    </row>
    <row r="169" spans="6:14" x14ac:dyDescent="0.25">
      <c r="F169" t="s">
        <v>12</v>
      </c>
      <c r="H169">
        <f>+$K$9-H168</f>
        <v>-0.10932402282837961</v>
      </c>
      <c r="K169" t="s">
        <v>12</v>
      </c>
      <c r="M169">
        <f>+$K$10-M168</f>
        <v>0.54436212812497686</v>
      </c>
    </row>
    <row r="170" spans="6:14" x14ac:dyDescent="0.25">
      <c r="F170" t="s">
        <v>13</v>
      </c>
      <c r="H170">
        <f>+$F$10*H169*$J$9</f>
        <v>-5.4662011414189802E-3</v>
      </c>
      <c r="K170" t="s">
        <v>13</v>
      </c>
      <c r="M170">
        <f>+$F$10*M169*$J$10</f>
        <v>1.0887242562499537E-2</v>
      </c>
    </row>
    <row r="171" spans="6:14" x14ac:dyDescent="0.25">
      <c r="H171">
        <f>+H170+H166</f>
        <v>1.0127544693299775</v>
      </c>
      <c r="I171">
        <f>+H170+I166</f>
        <v>-3.9872455306700223</v>
      </c>
      <c r="M171">
        <f>+M170+M166</f>
        <v>1.1627665331875072</v>
      </c>
      <c r="N171">
        <f>+M170+N166</f>
        <v>-3.8372334668124926</v>
      </c>
    </row>
    <row r="175" spans="6:14" x14ac:dyDescent="0.25">
      <c r="F175">
        <v>2</v>
      </c>
      <c r="H175" t="s">
        <v>9</v>
      </c>
      <c r="I175" t="s">
        <v>10</v>
      </c>
      <c r="K175">
        <v>2</v>
      </c>
      <c r="M175" t="s">
        <v>9</v>
      </c>
      <c r="N175" t="s">
        <v>10</v>
      </c>
    </row>
    <row r="176" spans="6:14" x14ac:dyDescent="0.25">
      <c r="H176">
        <f>+H171</f>
        <v>1.0127544693299775</v>
      </c>
      <c r="I176">
        <f>+I171</f>
        <v>-3.9872455306700223</v>
      </c>
      <c r="M176">
        <f>+M171</f>
        <v>1.1627665331875072</v>
      </c>
      <c r="N176">
        <f>+N171</f>
        <v>-3.8372334668124926</v>
      </c>
    </row>
    <row r="178" spans="6:14" x14ac:dyDescent="0.25">
      <c r="F178" t="s">
        <v>11</v>
      </c>
      <c r="H178">
        <f>+$J$9*H176+I176</f>
        <v>1.0765268159798653</v>
      </c>
      <c r="K178" t="s">
        <v>11</v>
      </c>
      <c r="M178">
        <f>+$J$10*M176+N176</f>
        <v>-1.5117004004374781</v>
      </c>
    </row>
    <row r="179" spans="6:14" x14ac:dyDescent="0.25">
      <c r="F179" t="s">
        <v>12</v>
      </c>
      <c r="H179">
        <f>+$K$9-H178</f>
        <v>-7.6526815979865326E-2</v>
      </c>
      <c r="K179" t="s">
        <v>12</v>
      </c>
      <c r="M179">
        <f>+$K$10-M178</f>
        <v>0.51170040043747811</v>
      </c>
    </row>
    <row r="180" spans="6:14" x14ac:dyDescent="0.25">
      <c r="F180" t="s">
        <v>13</v>
      </c>
      <c r="H180">
        <f>+$F$10*H179*$J$9</f>
        <v>-3.8263407989932666E-3</v>
      </c>
      <c r="K180" t="s">
        <v>13</v>
      </c>
      <c r="M180">
        <f>+$F$10*M179*$J$10</f>
        <v>1.0234008008749563E-2</v>
      </c>
    </row>
    <row r="181" spans="6:14" x14ac:dyDescent="0.25">
      <c r="H181">
        <f>+H180+H176</f>
        <v>1.0089281285309841</v>
      </c>
      <c r="I181">
        <f>+H180+I176</f>
        <v>-3.9910718714690154</v>
      </c>
      <c r="M181">
        <f>+M180+M176</f>
        <v>1.1730005411962567</v>
      </c>
      <c r="N181">
        <f>+M180+N176</f>
        <v>-3.8269994588037428</v>
      </c>
    </row>
    <row r="185" spans="6:14" x14ac:dyDescent="0.25">
      <c r="F185">
        <v>2</v>
      </c>
      <c r="H185" t="s">
        <v>9</v>
      </c>
      <c r="I185" t="s">
        <v>10</v>
      </c>
      <c r="K185">
        <v>2</v>
      </c>
      <c r="M185" t="s">
        <v>9</v>
      </c>
      <c r="N185" t="s">
        <v>10</v>
      </c>
    </row>
    <row r="186" spans="6:14" x14ac:dyDescent="0.25">
      <c r="H186">
        <f>+H181</f>
        <v>1.0089281285309841</v>
      </c>
      <c r="I186">
        <f>+I181</f>
        <v>-3.9910718714690154</v>
      </c>
      <c r="M186">
        <f>+M181</f>
        <v>1.1730005411962567</v>
      </c>
      <c r="N186">
        <f>+N181</f>
        <v>-3.8269994588037428</v>
      </c>
    </row>
    <row r="188" spans="6:14" x14ac:dyDescent="0.25">
      <c r="F188" t="s">
        <v>11</v>
      </c>
      <c r="H188">
        <f>+$J$9*H186+I186</f>
        <v>1.0535687711859052</v>
      </c>
      <c r="K188" t="s">
        <v>11</v>
      </c>
      <c r="M188">
        <f>+$J$10*M186+N186</f>
        <v>-1.4809983764112293</v>
      </c>
    </row>
    <row r="189" spans="6:14" x14ac:dyDescent="0.25">
      <c r="F189" t="s">
        <v>12</v>
      </c>
      <c r="H189">
        <f>+$K$9-H188</f>
        <v>-5.3568771185905195E-2</v>
      </c>
      <c r="K189" t="s">
        <v>12</v>
      </c>
      <c r="M189">
        <f>+$K$10-M188</f>
        <v>0.48099837641122933</v>
      </c>
    </row>
    <row r="190" spans="6:14" x14ac:dyDescent="0.25">
      <c r="F190" t="s">
        <v>13</v>
      </c>
      <c r="H190">
        <f>+$F$10*H189*$J$9</f>
        <v>-2.6784385592952594E-3</v>
      </c>
      <c r="K190" t="s">
        <v>13</v>
      </c>
      <c r="M190">
        <f>+$F$10*M189*$J$10</f>
        <v>9.6199675282245874E-3</v>
      </c>
    </row>
    <row r="191" spans="6:14" x14ac:dyDescent="0.25">
      <c r="H191">
        <f>+H190+H186</f>
        <v>1.0062496899716888</v>
      </c>
      <c r="I191">
        <f>+H190+I186</f>
        <v>-3.9937503100283105</v>
      </c>
      <c r="M191">
        <f>+M190+M186</f>
        <v>1.1826205087244814</v>
      </c>
      <c r="N191">
        <f>+M190+N186</f>
        <v>-3.8173794912755183</v>
      </c>
    </row>
    <row r="195" spans="6:14" x14ac:dyDescent="0.25">
      <c r="F195">
        <v>2</v>
      </c>
      <c r="H195" t="s">
        <v>9</v>
      </c>
      <c r="I195" t="s">
        <v>10</v>
      </c>
      <c r="K195">
        <v>2</v>
      </c>
      <c r="M195" t="s">
        <v>9</v>
      </c>
      <c r="N195" t="s">
        <v>10</v>
      </c>
    </row>
    <row r="196" spans="6:14" x14ac:dyDescent="0.25">
      <c r="H196">
        <f>+H191</f>
        <v>1.0062496899716888</v>
      </c>
      <c r="I196">
        <f>+I191</f>
        <v>-3.9937503100283105</v>
      </c>
      <c r="M196">
        <f>+M191</f>
        <v>1.1826205087244814</v>
      </c>
      <c r="N196">
        <f>+N191</f>
        <v>-3.8173794912755183</v>
      </c>
    </row>
    <row r="198" spans="6:14" x14ac:dyDescent="0.25">
      <c r="F198" t="s">
        <v>11</v>
      </c>
      <c r="H198">
        <f>+$J$9*H196+I196</f>
        <v>1.0374981398301339</v>
      </c>
      <c r="K198" t="s">
        <v>11</v>
      </c>
      <c r="M198">
        <f>+$J$10*M196+N196</f>
        <v>-1.4521384738265555</v>
      </c>
    </row>
    <row r="199" spans="6:14" x14ac:dyDescent="0.25">
      <c r="F199" t="s">
        <v>12</v>
      </c>
      <c r="H199">
        <f>+$K$9-H198</f>
        <v>-3.7498139830133947E-2</v>
      </c>
      <c r="K199" t="s">
        <v>12</v>
      </c>
      <c r="M199">
        <f>+$K$10-M198</f>
        <v>0.45213847382655548</v>
      </c>
    </row>
    <row r="200" spans="6:14" x14ac:dyDescent="0.25">
      <c r="F200" t="s">
        <v>13</v>
      </c>
      <c r="H200">
        <f>+$F$10*H199*$J$9</f>
        <v>-1.8749069915066975E-3</v>
      </c>
      <c r="K200" t="s">
        <v>13</v>
      </c>
      <c r="M200">
        <f>+$F$10*M199*$J$10</f>
        <v>9.0427694765311106E-3</v>
      </c>
    </row>
    <row r="201" spans="6:14" x14ac:dyDescent="0.25">
      <c r="H201">
        <f>+H200+H196</f>
        <v>1.0043747829801821</v>
      </c>
      <c r="I201">
        <f>+H200+I196</f>
        <v>-3.9956252170198172</v>
      </c>
      <c r="M201">
        <f>+M200+M196</f>
        <v>1.1916632782010126</v>
      </c>
      <c r="N201">
        <f>+M200+N196</f>
        <v>-3.8083367217989874</v>
      </c>
    </row>
    <row r="205" spans="6:14" x14ac:dyDescent="0.25">
      <c r="F205">
        <v>2</v>
      </c>
      <c r="H205" t="s">
        <v>9</v>
      </c>
      <c r="I205" t="s">
        <v>10</v>
      </c>
      <c r="K205">
        <v>2</v>
      </c>
      <c r="M205" t="s">
        <v>9</v>
      </c>
      <c r="N205" t="s">
        <v>10</v>
      </c>
    </row>
    <row r="206" spans="6:14" x14ac:dyDescent="0.25">
      <c r="H206">
        <f>+H201</f>
        <v>1.0043747829801821</v>
      </c>
      <c r="I206">
        <f>+I201</f>
        <v>-3.9956252170198172</v>
      </c>
      <c r="M206">
        <f>+M201</f>
        <v>1.1916632782010126</v>
      </c>
      <c r="N206">
        <f>+N201</f>
        <v>-3.8083367217989874</v>
      </c>
    </row>
    <row r="208" spans="6:14" x14ac:dyDescent="0.25">
      <c r="F208" t="s">
        <v>11</v>
      </c>
      <c r="H208">
        <f>+$J$9*H206+I206</f>
        <v>1.0262486978810936</v>
      </c>
      <c r="K208" t="s">
        <v>11</v>
      </c>
      <c r="M208">
        <f>+$J$10*M206+N206</f>
        <v>-1.4250101653969622</v>
      </c>
    </row>
    <row r="209" spans="6:14" x14ac:dyDescent="0.25">
      <c r="F209" t="s">
        <v>12</v>
      </c>
      <c r="H209">
        <f>+$K$9-H208</f>
        <v>-2.624869788109363E-2</v>
      </c>
      <c r="K209" t="s">
        <v>12</v>
      </c>
      <c r="M209">
        <f>+$K$10-M208</f>
        <v>0.42501016539696224</v>
      </c>
    </row>
    <row r="210" spans="6:14" x14ac:dyDescent="0.25">
      <c r="F210" t="s">
        <v>13</v>
      </c>
      <c r="H210">
        <f>+$F$10*H209*$J$9</f>
        <v>-1.3124348940546815E-3</v>
      </c>
      <c r="K210" t="s">
        <v>13</v>
      </c>
      <c r="M210">
        <f>+$F$10*M209*$J$10</f>
        <v>8.5002033079392449E-3</v>
      </c>
    </row>
    <row r="211" spans="6:14" x14ac:dyDescent="0.25">
      <c r="H211">
        <f>+H210+H206</f>
        <v>1.0030623480861274</v>
      </c>
      <c r="I211">
        <f>+H210+I206</f>
        <v>-3.9969376519138717</v>
      </c>
      <c r="M211">
        <f>+M210+M206</f>
        <v>1.2001634815089519</v>
      </c>
      <c r="N211">
        <f>+M210+N206</f>
        <v>-3.7998365184910483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82F1-0EB2-4A2C-B6D6-FE2449038C61}">
  <dimension ref="B3:O64"/>
  <sheetViews>
    <sheetView workbookViewId="0">
      <selection activeCell="O46" sqref="O46"/>
    </sheetView>
  </sheetViews>
  <sheetFormatPr defaultRowHeight="15" x14ac:dyDescent="0.25"/>
  <cols>
    <col min="2" max="2" width="11.42578125" style="5" customWidth="1"/>
  </cols>
  <sheetData>
    <row r="3" spans="2:10" x14ac:dyDescent="0.25">
      <c r="D3" s="5"/>
      <c r="E3" s="5" t="s">
        <v>5</v>
      </c>
      <c r="F3" s="5" t="s">
        <v>6</v>
      </c>
    </row>
    <row r="4" spans="2:10" x14ac:dyDescent="0.25">
      <c r="D4" s="5" t="s">
        <v>5</v>
      </c>
      <c r="E4" s="5">
        <v>5</v>
      </c>
      <c r="F4" s="5">
        <v>1</v>
      </c>
    </row>
    <row r="5" spans="2:10" x14ac:dyDescent="0.25">
      <c r="D5" s="5" t="s">
        <v>7</v>
      </c>
      <c r="E5" s="5">
        <v>2</v>
      </c>
      <c r="F5" s="5">
        <v>-1</v>
      </c>
    </row>
    <row r="6" spans="2:10" x14ac:dyDescent="0.25">
      <c r="D6" s="5" t="s">
        <v>8</v>
      </c>
      <c r="E6" s="5">
        <v>7</v>
      </c>
      <c r="F6" s="5">
        <v>1</v>
      </c>
    </row>
    <row r="7" spans="2:10" ht="15.75" thickBot="1" x14ac:dyDescent="0.3">
      <c r="D7" s="5"/>
      <c r="E7" s="5"/>
      <c r="F7" s="5"/>
    </row>
    <row r="8" spans="2:10" ht="15.75" thickBot="1" x14ac:dyDescent="0.3">
      <c r="B8" s="9" t="s">
        <v>30</v>
      </c>
      <c r="C8" s="10"/>
      <c r="D8" s="10"/>
      <c r="E8" s="10"/>
      <c r="F8" s="10"/>
      <c r="G8" s="10"/>
      <c r="H8" s="10"/>
      <c r="I8" s="11"/>
    </row>
    <row r="9" spans="2:10" x14ac:dyDescent="0.25">
      <c r="D9" t="s">
        <v>10</v>
      </c>
      <c r="E9">
        <v>0</v>
      </c>
    </row>
    <row r="10" spans="2:10" x14ac:dyDescent="0.25">
      <c r="D10" t="s">
        <v>9</v>
      </c>
      <c r="E10">
        <v>1</v>
      </c>
    </row>
    <row r="11" spans="2:10" x14ac:dyDescent="0.25">
      <c r="C11" s="2"/>
      <c r="D11" s="2"/>
      <c r="E11" s="2"/>
      <c r="F11" s="2"/>
      <c r="G11" s="2"/>
      <c r="H11" s="2"/>
      <c r="I11" s="2"/>
    </row>
    <row r="12" spans="2:10" x14ac:dyDescent="0.25">
      <c r="C12" s="2"/>
      <c r="D12" s="2"/>
      <c r="E12" s="2"/>
      <c r="F12" s="2"/>
      <c r="G12" s="2"/>
      <c r="H12" s="2" t="s">
        <v>18</v>
      </c>
      <c r="I12" s="2"/>
    </row>
    <row r="13" spans="2:10" x14ac:dyDescent="0.25">
      <c r="B13" s="7" t="s">
        <v>26</v>
      </c>
      <c r="C13" s="2" t="s">
        <v>20</v>
      </c>
      <c r="D13" s="2" t="s">
        <v>15</v>
      </c>
      <c r="E13" s="8" t="s">
        <v>16</v>
      </c>
      <c r="F13" s="8"/>
      <c r="G13" s="2"/>
      <c r="H13" s="2">
        <v>1</v>
      </c>
      <c r="I13" s="2"/>
    </row>
    <row r="14" spans="2:10" x14ac:dyDescent="0.25">
      <c r="B14" s="7"/>
      <c r="C14" s="2"/>
      <c r="D14" s="2"/>
      <c r="E14" s="2" cm="1">
        <f t="array" ref="E14:F14">+TRANSPOSE(E9:E10)</f>
        <v>0</v>
      </c>
      <c r="F14" s="2">
        <v>1</v>
      </c>
      <c r="G14" s="2"/>
      <c r="H14" s="2">
        <f>+E4</f>
        <v>5</v>
      </c>
      <c r="I14" s="2" t="s">
        <v>19</v>
      </c>
      <c r="J14" cm="1">
        <f t="array" ref="J14">+MMULT(_xlfn.ANCHORARRAY(E14),H13:H14)</f>
        <v>5</v>
      </c>
    </row>
    <row r="15" spans="2:10" x14ac:dyDescent="0.25">
      <c r="C15" s="2"/>
      <c r="D15" s="2"/>
      <c r="E15" s="2"/>
      <c r="F15" s="2"/>
      <c r="G15" s="2"/>
      <c r="H15" s="2"/>
      <c r="I15" s="2"/>
    </row>
    <row r="16" spans="2:10" x14ac:dyDescent="0.25">
      <c r="C16" s="2"/>
      <c r="D16" s="2"/>
      <c r="E16" s="2"/>
      <c r="F16" s="2"/>
      <c r="G16" s="2"/>
      <c r="H16" s="2"/>
      <c r="I16" s="2"/>
    </row>
    <row r="17" spans="2:9" x14ac:dyDescent="0.25">
      <c r="B17" s="5" t="s">
        <v>25</v>
      </c>
      <c r="C17" s="2" t="s">
        <v>21</v>
      </c>
      <c r="D17" s="2" t="s">
        <v>12</v>
      </c>
      <c r="E17" s="2"/>
      <c r="F17" s="2"/>
      <c r="G17" s="2"/>
      <c r="H17" s="2"/>
      <c r="I17" s="2"/>
    </row>
    <row r="18" spans="2:9" x14ac:dyDescent="0.25">
      <c r="C18" s="2"/>
      <c r="D18" s="2" t="s">
        <v>12</v>
      </c>
      <c r="E18" s="2" t="s">
        <v>19</v>
      </c>
      <c r="F18" s="2">
        <f>F4-J14</f>
        <v>-4</v>
      </c>
      <c r="G18" s="2"/>
      <c r="H18" s="2"/>
      <c r="I18" s="2"/>
    </row>
    <row r="19" spans="2:9" x14ac:dyDescent="0.25">
      <c r="C19" s="2"/>
      <c r="D19" s="2"/>
      <c r="E19" s="2"/>
      <c r="F19" s="2"/>
      <c r="G19" s="2"/>
      <c r="H19" s="2"/>
      <c r="I19" s="2"/>
    </row>
    <row r="20" spans="2:9" x14ac:dyDescent="0.25">
      <c r="C20" s="2"/>
      <c r="D20" s="2"/>
      <c r="E20" s="2"/>
      <c r="F20" s="2">
        <v>1</v>
      </c>
      <c r="G20" s="2"/>
      <c r="H20" s="2" cm="1">
        <f t="array" ref="H20:H21">+D21*E21*F20:F21</f>
        <v>-0.04</v>
      </c>
      <c r="I20" s="2"/>
    </row>
    <row r="21" spans="2:9" x14ac:dyDescent="0.25">
      <c r="B21" s="7" t="s">
        <v>24</v>
      </c>
      <c r="C21" s="2" t="s">
        <v>22</v>
      </c>
      <c r="D21" s="2">
        <v>0.01</v>
      </c>
      <c r="E21" s="2">
        <f>+F18</f>
        <v>-4</v>
      </c>
      <c r="F21" s="2">
        <f>+H14</f>
        <v>5</v>
      </c>
      <c r="G21" s="2"/>
      <c r="H21" s="2">
        <v>-0.2</v>
      </c>
      <c r="I21" s="2"/>
    </row>
    <row r="22" spans="2:9" x14ac:dyDescent="0.25">
      <c r="B22" s="7"/>
      <c r="C22" s="2"/>
      <c r="D22" s="2"/>
      <c r="E22" s="2"/>
      <c r="F22" s="2"/>
      <c r="G22" s="2"/>
      <c r="H22" s="2"/>
      <c r="I22" s="2"/>
    </row>
    <row r="23" spans="2:9" x14ac:dyDescent="0.25">
      <c r="C23" s="2"/>
      <c r="D23" s="2" t="s">
        <v>16</v>
      </c>
      <c r="E23" s="2"/>
      <c r="F23" s="2" t="s">
        <v>13</v>
      </c>
      <c r="G23" s="2"/>
      <c r="H23" s="2"/>
      <c r="I23" s="2"/>
    </row>
    <row r="24" spans="2:9" ht="15" customHeight="1" x14ac:dyDescent="0.25">
      <c r="C24" s="2" t="s">
        <v>23</v>
      </c>
      <c r="D24" s="2">
        <f>+E9</f>
        <v>0</v>
      </c>
      <c r="E24" s="2"/>
      <c r="F24" s="2">
        <f>+H20</f>
        <v>-0.04</v>
      </c>
      <c r="G24" s="2"/>
      <c r="H24" s="2" cm="1">
        <f t="array" ref="H24:H25">+D24:D25+F24:F25</f>
        <v>-0.04</v>
      </c>
      <c r="I24" s="2"/>
    </row>
    <row r="25" spans="2:9" x14ac:dyDescent="0.25">
      <c r="C25" s="2"/>
      <c r="D25" s="2">
        <f>+E10</f>
        <v>1</v>
      </c>
      <c r="E25" s="2"/>
      <c r="F25" s="2">
        <f>+H21</f>
        <v>-0.2</v>
      </c>
      <c r="G25" s="2"/>
      <c r="H25" s="2">
        <v>0.8</v>
      </c>
      <c r="I25" s="2"/>
    </row>
    <row r="26" spans="2:9" x14ac:dyDescent="0.25">
      <c r="C26" s="2"/>
      <c r="D26" s="2"/>
      <c r="E26" s="2"/>
      <c r="F26" s="2"/>
      <c r="G26" s="2"/>
      <c r="H26" s="2"/>
      <c r="I26" s="2"/>
    </row>
    <row r="29" spans="2:9" ht="15.75" thickBot="1" x14ac:dyDescent="0.3"/>
    <row r="30" spans="2:9" ht="15.75" thickBot="1" x14ac:dyDescent="0.3">
      <c r="B30" s="9" t="s">
        <v>27</v>
      </c>
      <c r="C30" s="10"/>
      <c r="D30" s="10"/>
      <c r="E30" s="10"/>
      <c r="F30" s="10"/>
      <c r="G30" s="10"/>
      <c r="H30" s="10"/>
      <c r="I30" s="11"/>
    </row>
    <row r="31" spans="2:9" x14ac:dyDescent="0.25">
      <c r="D31" t="s">
        <v>10</v>
      </c>
      <c r="E31">
        <v>-0.04</v>
      </c>
    </row>
    <row r="32" spans="2:9" x14ac:dyDescent="0.25">
      <c r="D32" t="s">
        <v>9</v>
      </c>
      <c r="E32">
        <v>0.8</v>
      </c>
    </row>
    <row r="33" spans="2:15" x14ac:dyDescent="0.25">
      <c r="C33" s="2"/>
      <c r="D33" s="2"/>
      <c r="E33" s="2"/>
      <c r="F33" s="2"/>
      <c r="G33" s="2"/>
      <c r="H33" s="2"/>
      <c r="I33" s="2"/>
      <c r="J33" s="2"/>
      <c r="K33" s="2"/>
    </row>
    <row r="34" spans="2:15" x14ac:dyDescent="0.25">
      <c r="C34" s="2"/>
      <c r="D34" s="2"/>
      <c r="E34" s="2"/>
      <c r="F34" s="2"/>
      <c r="G34" s="2"/>
      <c r="H34" s="2" t="s">
        <v>18</v>
      </c>
      <c r="I34" s="2"/>
      <c r="J34" s="2"/>
      <c r="K34" s="2"/>
    </row>
    <row r="35" spans="2:15" x14ac:dyDescent="0.25">
      <c r="B35" s="7" t="s">
        <v>26</v>
      </c>
      <c r="C35" s="2" t="s">
        <v>20</v>
      </c>
      <c r="D35" s="2" t="s">
        <v>15</v>
      </c>
      <c r="E35" s="8" t="s">
        <v>16</v>
      </c>
      <c r="F35" s="8"/>
      <c r="G35" s="2"/>
      <c r="H35" s="2">
        <v>1</v>
      </c>
      <c r="I35" s="2"/>
      <c r="J35" s="2"/>
      <c r="K35" s="2"/>
    </row>
    <row r="36" spans="2:15" x14ac:dyDescent="0.25">
      <c r="B36" s="7"/>
      <c r="C36" s="2"/>
      <c r="D36" s="2"/>
      <c r="E36" s="2" cm="1">
        <f t="array" ref="E36:F36">+TRANSPOSE(E31:E32)</f>
        <v>-0.04</v>
      </c>
      <c r="F36" s="2">
        <v>0.8</v>
      </c>
      <c r="G36" s="2"/>
      <c r="H36" s="2">
        <f>+E5</f>
        <v>2</v>
      </c>
      <c r="I36" s="2" t="s">
        <v>19</v>
      </c>
      <c r="J36" s="2" cm="1">
        <f t="array" ref="J36">+MMULT(_xlfn.ANCHORARRAY(E36),H35:H36)</f>
        <v>1.56</v>
      </c>
      <c r="K36" s="2"/>
    </row>
    <row r="37" spans="2:15" x14ac:dyDescent="0.25">
      <c r="C37" s="2"/>
      <c r="D37" s="2"/>
      <c r="E37" s="2"/>
      <c r="F37" s="2"/>
      <c r="G37" s="2"/>
      <c r="H37" s="2"/>
      <c r="I37" s="2"/>
      <c r="J37" s="2"/>
      <c r="K37" s="2"/>
    </row>
    <row r="38" spans="2:15" x14ac:dyDescent="0.25">
      <c r="C38" s="2"/>
      <c r="D38" s="2"/>
      <c r="E38" s="2"/>
      <c r="F38" s="2"/>
      <c r="G38" s="2"/>
      <c r="H38" s="2"/>
      <c r="I38" s="2"/>
      <c r="J38" s="2"/>
      <c r="K38" s="2"/>
    </row>
    <row r="39" spans="2:15" x14ac:dyDescent="0.25">
      <c r="B39" s="5" t="s">
        <v>25</v>
      </c>
      <c r="C39" s="2" t="s">
        <v>21</v>
      </c>
      <c r="D39" s="2" t="s">
        <v>12</v>
      </c>
      <c r="E39" s="2"/>
      <c r="F39" s="2"/>
      <c r="G39" s="2"/>
      <c r="H39" s="2"/>
      <c r="I39" s="2"/>
      <c r="J39" s="2"/>
      <c r="K39" s="2"/>
    </row>
    <row r="40" spans="2:15" x14ac:dyDescent="0.25">
      <c r="C40" s="2"/>
      <c r="D40" s="2" t="s">
        <v>12</v>
      </c>
      <c r="E40" s="2" t="s">
        <v>19</v>
      </c>
      <c r="F40" s="2">
        <f>+F5-J36</f>
        <v>-2.56</v>
      </c>
      <c r="G40" s="2"/>
      <c r="H40" s="2"/>
      <c r="I40" s="2"/>
      <c r="J40" s="2"/>
      <c r="K40" s="2"/>
    </row>
    <row r="41" spans="2:15" x14ac:dyDescent="0.25">
      <c r="C41" s="2"/>
      <c r="D41" s="2"/>
      <c r="E41" s="2"/>
      <c r="F41" s="2"/>
      <c r="G41" s="2"/>
      <c r="H41" s="2"/>
      <c r="I41" s="2"/>
      <c r="J41" s="2"/>
      <c r="K41" s="2"/>
    </row>
    <row r="42" spans="2:15" x14ac:dyDescent="0.25">
      <c r="C42" s="2"/>
      <c r="D42" s="2"/>
      <c r="E42" s="2"/>
      <c r="F42" s="2">
        <v>1</v>
      </c>
      <c r="G42" s="2"/>
      <c r="H42" s="2" cm="1">
        <f t="array" ref="H42:H43">+D43*E43*F42:F43</f>
        <v>-2.5600000000000001E-2</v>
      </c>
      <c r="I42" s="2"/>
      <c r="J42" s="2"/>
      <c r="K42" s="2"/>
    </row>
    <row r="43" spans="2:15" x14ac:dyDescent="0.25">
      <c r="B43" s="7" t="s">
        <v>24</v>
      </c>
      <c r="C43" s="2" t="s">
        <v>22</v>
      </c>
      <c r="D43" s="2">
        <v>0.01</v>
      </c>
      <c r="E43" s="2">
        <f>+F40</f>
        <v>-2.56</v>
      </c>
      <c r="F43" s="2">
        <f>+H36</f>
        <v>2</v>
      </c>
      <c r="G43" s="2"/>
      <c r="H43" s="2">
        <v>-5.1200000000000002E-2</v>
      </c>
      <c r="I43" s="2"/>
      <c r="J43" s="2"/>
      <c r="K43" s="2"/>
      <c r="O43">
        <v>112120</v>
      </c>
    </row>
    <row r="44" spans="2:15" x14ac:dyDescent="0.25">
      <c r="B44" s="7"/>
      <c r="C44" s="2"/>
      <c r="D44" s="2"/>
      <c r="E44" s="2"/>
      <c r="F44" s="2"/>
      <c r="G44" s="2"/>
      <c r="H44" s="2"/>
      <c r="I44" s="2"/>
      <c r="J44" s="2"/>
      <c r="K44" s="2"/>
      <c r="O44">
        <v>30805</v>
      </c>
    </row>
    <row r="45" spans="2:15" x14ac:dyDescent="0.25">
      <c r="C45" s="2"/>
      <c r="D45" s="2" t="s">
        <v>16</v>
      </c>
      <c r="E45" s="2"/>
      <c r="F45" s="2" t="s">
        <v>13</v>
      </c>
      <c r="G45" s="2"/>
      <c r="H45" s="2"/>
      <c r="I45" s="2"/>
      <c r="J45" s="2"/>
      <c r="K45" s="2"/>
      <c r="O45">
        <f>+O43/O44</f>
        <v>3.6396688849212788</v>
      </c>
    </row>
    <row r="46" spans="2:15" x14ac:dyDescent="0.25">
      <c r="C46" s="2" t="s">
        <v>23</v>
      </c>
      <c r="D46" s="2">
        <f>+E31</f>
        <v>-0.04</v>
      </c>
      <c r="E46" s="2"/>
      <c r="F46" s="2">
        <f>+H42</f>
        <v>-2.5600000000000001E-2</v>
      </c>
      <c r="G46" s="2"/>
      <c r="H46" s="2" cm="1">
        <f t="array" ref="H46:H47">+D46:D47+F46:F47</f>
        <v>-6.5600000000000006E-2</v>
      </c>
      <c r="I46" s="2"/>
      <c r="J46" s="2"/>
      <c r="K46" s="2"/>
    </row>
    <row r="47" spans="2:15" x14ac:dyDescent="0.25">
      <c r="C47" s="2"/>
      <c r="D47" s="2">
        <f>+E32</f>
        <v>0.8</v>
      </c>
      <c r="E47" s="2"/>
      <c r="F47" s="2">
        <f>+H43</f>
        <v>-5.1200000000000002E-2</v>
      </c>
      <c r="G47" s="2"/>
      <c r="H47" s="2">
        <v>0.74880000000000002</v>
      </c>
      <c r="I47" s="2"/>
      <c r="J47" s="2"/>
      <c r="K47" s="2"/>
    </row>
    <row r="48" spans="2:15" x14ac:dyDescent="0.25">
      <c r="C48" s="2"/>
      <c r="D48" s="2"/>
      <c r="E48" s="2"/>
      <c r="F48" s="2"/>
      <c r="G48" s="2"/>
      <c r="H48" s="2"/>
      <c r="I48" s="2"/>
      <c r="J48" s="2"/>
      <c r="K48" s="2"/>
    </row>
    <row r="49" spans="2:10" ht="15.75" thickBot="1" x14ac:dyDescent="0.3"/>
    <row r="50" spans="2:10" ht="15.75" thickBot="1" x14ac:dyDescent="0.3">
      <c r="B50" s="9" t="s">
        <v>28</v>
      </c>
      <c r="C50" s="10"/>
      <c r="D50" s="10"/>
      <c r="E50" s="10"/>
      <c r="F50" s="10"/>
      <c r="G50" s="10"/>
      <c r="H50" s="10"/>
      <c r="I50" s="11"/>
    </row>
    <row r="52" spans="2:10" x14ac:dyDescent="0.25">
      <c r="B52" s="7" t="s">
        <v>26</v>
      </c>
      <c r="C52" s="2" t="s">
        <v>20</v>
      </c>
      <c r="D52" t="s">
        <v>29</v>
      </c>
      <c r="F52" t="s">
        <v>16</v>
      </c>
      <c r="H52" t="s">
        <v>17</v>
      </c>
    </row>
    <row r="53" spans="2:10" x14ac:dyDescent="0.25">
      <c r="B53" s="7"/>
      <c r="C53" s="2"/>
      <c r="E53">
        <f>+H46</f>
        <v>-6.5600000000000006E-2</v>
      </c>
      <c r="F53">
        <f>+H47</f>
        <v>0.74880000000000002</v>
      </c>
      <c r="H53">
        <v>1</v>
      </c>
      <c r="J53" cm="1">
        <f t="array" ref="J53">+MMULT(E53:F53,H53:H54)</f>
        <v>5.1760000000000002</v>
      </c>
    </row>
    <row r="54" spans="2:10" x14ac:dyDescent="0.25">
      <c r="C54" s="2"/>
      <c r="H54">
        <f>+E6</f>
        <v>7</v>
      </c>
    </row>
    <row r="55" spans="2:10" x14ac:dyDescent="0.25">
      <c r="C55" s="2"/>
    </row>
    <row r="56" spans="2:10" x14ac:dyDescent="0.25">
      <c r="B56" s="5" t="s">
        <v>25</v>
      </c>
      <c r="C56" s="2" t="s">
        <v>21</v>
      </c>
      <c r="D56" t="s">
        <v>12</v>
      </c>
      <c r="E56">
        <f>+F6-J53</f>
        <v>-4.1760000000000002</v>
      </c>
    </row>
    <row r="57" spans="2:10" x14ac:dyDescent="0.25">
      <c r="C57" s="2"/>
    </row>
    <row r="58" spans="2:10" x14ac:dyDescent="0.25">
      <c r="C58" s="2"/>
    </row>
    <row r="59" spans="2:10" x14ac:dyDescent="0.25">
      <c r="C59" s="2"/>
    </row>
    <row r="60" spans="2:10" x14ac:dyDescent="0.25">
      <c r="B60" s="7" t="s">
        <v>24</v>
      </c>
      <c r="C60" s="2" t="s">
        <v>22</v>
      </c>
      <c r="E60">
        <v>0.01</v>
      </c>
      <c r="F60">
        <f>+E56</f>
        <v>-4.1760000000000002</v>
      </c>
      <c r="G60">
        <f>+H53</f>
        <v>1</v>
      </c>
      <c r="I60" cm="1">
        <f t="array" ref="I60:I61">+E60*F60*G60:G61</f>
        <v>-4.1760000000000005E-2</v>
      </c>
    </row>
    <row r="61" spans="2:10" x14ac:dyDescent="0.25">
      <c r="B61" s="7"/>
      <c r="C61" s="2"/>
      <c r="G61">
        <f>+H54</f>
        <v>7</v>
      </c>
      <c r="I61">
        <v>-0.29232000000000002</v>
      </c>
    </row>
    <row r="62" spans="2:10" x14ac:dyDescent="0.25">
      <c r="C62" s="2"/>
    </row>
    <row r="63" spans="2:10" x14ac:dyDescent="0.25">
      <c r="C63" s="2" t="s">
        <v>23</v>
      </c>
      <c r="D63">
        <f>+E53</f>
        <v>-6.5600000000000006E-2</v>
      </c>
      <c r="F63">
        <f>+I60</f>
        <v>-4.1760000000000005E-2</v>
      </c>
      <c r="H63" cm="1">
        <f t="array" ref="H63:H64">+D63:D64+F63:F64</f>
        <v>-0.10736000000000001</v>
      </c>
    </row>
    <row r="64" spans="2:10" x14ac:dyDescent="0.25">
      <c r="D64">
        <f>+F53</f>
        <v>0.74880000000000002</v>
      </c>
      <c r="F64">
        <f>+I61</f>
        <v>-0.29232000000000002</v>
      </c>
      <c r="H64">
        <v>0.45648</v>
      </c>
    </row>
  </sheetData>
  <mergeCells count="11">
    <mergeCell ref="B60:B61"/>
    <mergeCell ref="B13:B14"/>
    <mergeCell ref="E13:F13"/>
    <mergeCell ref="B21:B22"/>
    <mergeCell ref="B8:I8"/>
    <mergeCell ref="E35:F35"/>
    <mergeCell ref="B43:B44"/>
    <mergeCell ref="B35:B36"/>
    <mergeCell ref="B30:I30"/>
    <mergeCell ref="B50:I50"/>
    <mergeCell ref="B52:B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0FD4-9897-4D56-98E4-76619B4FDC00}">
  <dimension ref="D1:J41"/>
  <sheetViews>
    <sheetView tabSelected="1" workbookViewId="0">
      <selection activeCell="I41" sqref="I41"/>
    </sheetView>
  </sheetViews>
  <sheetFormatPr defaultRowHeight="15" x14ac:dyDescent="0.25"/>
  <cols>
    <col min="10" max="10" width="12" bestFit="1" customWidth="1"/>
  </cols>
  <sheetData>
    <row r="1" spans="9:10" x14ac:dyDescent="0.25">
      <c r="I1">
        <v>-10</v>
      </c>
      <c r="J1">
        <f>+EXP(I1)</f>
        <v>4.5399929762484854E-5</v>
      </c>
    </row>
    <row r="2" spans="9:10" x14ac:dyDescent="0.25">
      <c r="I2">
        <v>-8</v>
      </c>
      <c r="J2">
        <f t="shared" ref="J2:J41" si="0">+EXP(I2)</f>
        <v>3.3546262790251185E-4</v>
      </c>
    </row>
    <row r="3" spans="9:10" x14ac:dyDescent="0.25">
      <c r="I3">
        <v>-7</v>
      </c>
      <c r="J3">
        <f t="shared" si="0"/>
        <v>9.1188196555451624E-4</v>
      </c>
    </row>
    <row r="4" spans="9:10" x14ac:dyDescent="0.25">
      <c r="I4">
        <v>-5</v>
      </c>
      <c r="J4">
        <f t="shared" si="0"/>
        <v>6.737946999085467E-3</v>
      </c>
    </row>
    <row r="5" spans="9:10" x14ac:dyDescent="0.25">
      <c r="I5">
        <v>-4</v>
      </c>
      <c r="J5">
        <f t="shared" si="0"/>
        <v>1.8315638888734179E-2</v>
      </c>
    </row>
    <row r="6" spans="9:10" x14ac:dyDescent="0.25">
      <c r="I6">
        <v>-3</v>
      </c>
      <c r="J6">
        <f t="shared" si="0"/>
        <v>4.9787068367863944E-2</v>
      </c>
    </row>
    <row r="7" spans="9:10" x14ac:dyDescent="0.25">
      <c r="I7">
        <v>-2</v>
      </c>
      <c r="J7">
        <f t="shared" si="0"/>
        <v>0.1353352832366127</v>
      </c>
    </row>
    <row r="8" spans="9:10" x14ac:dyDescent="0.25">
      <c r="I8">
        <v>-1</v>
      </c>
      <c r="J8">
        <f t="shared" si="0"/>
        <v>0.36787944117144233</v>
      </c>
    </row>
    <row r="9" spans="9:10" x14ac:dyDescent="0.25">
      <c r="I9">
        <v>0</v>
      </c>
      <c r="J9">
        <f t="shared" si="0"/>
        <v>1</v>
      </c>
    </row>
    <row r="10" spans="9:10" x14ac:dyDescent="0.25">
      <c r="I10">
        <v>0.1</v>
      </c>
      <c r="J10">
        <f t="shared" si="0"/>
        <v>1.1051709180756477</v>
      </c>
    </row>
    <row r="11" spans="9:10" x14ac:dyDescent="0.25">
      <c r="I11">
        <v>0.2</v>
      </c>
      <c r="J11">
        <f t="shared" si="0"/>
        <v>1.2214027581601699</v>
      </c>
    </row>
    <row r="12" spans="9:10" x14ac:dyDescent="0.25">
      <c r="I12">
        <v>0.3</v>
      </c>
      <c r="J12">
        <f t="shared" si="0"/>
        <v>1.3498588075760032</v>
      </c>
    </row>
    <row r="13" spans="9:10" x14ac:dyDescent="0.25">
      <c r="I13">
        <v>0.4</v>
      </c>
      <c r="J13">
        <f t="shared" si="0"/>
        <v>1.4918246976412703</v>
      </c>
    </row>
    <row r="14" spans="9:10" x14ac:dyDescent="0.25">
      <c r="I14">
        <v>0.5</v>
      </c>
      <c r="J14">
        <f t="shared" si="0"/>
        <v>1.6487212707001282</v>
      </c>
    </row>
    <row r="15" spans="9:10" x14ac:dyDescent="0.25">
      <c r="I15">
        <v>0.6</v>
      </c>
      <c r="J15">
        <f t="shared" si="0"/>
        <v>1.8221188003905089</v>
      </c>
    </row>
    <row r="16" spans="9:10" x14ac:dyDescent="0.25">
      <c r="I16">
        <v>0.7</v>
      </c>
      <c r="J16">
        <f t="shared" si="0"/>
        <v>2.0137527074704766</v>
      </c>
    </row>
    <row r="17" spans="4:10" x14ac:dyDescent="0.25">
      <c r="I17">
        <v>0.8</v>
      </c>
      <c r="J17">
        <f t="shared" si="0"/>
        <v>2.2255409284924679</v>
      </c>
    </row>
    <row r="18" spans="4:10" x14ac:dyDescent="0.25">
      <c r="I18">
        <v>0.9</v>
      </c>
      <c r="J18">
        <f t="shared" si="0"/>
        <v>2.4596031111569499</v>
      </c>
    </row>
    <row r="19" spans="4:10" x14ac:dyDescent="0.25">
      <c r="I19">
        <v>1</v>
      </c>
      <c r="J19">
        <f t="shared" si="0"/>
        <v>2.7182818284590451</v>
      </c>
    </row>
    <row r="20" spans="4:10" x14ac:dyDescent="0.25">
      <c r="I20">
        <v>1.1000000000000001</v>
      </c>
      <c r="J20">
        <f t="shared" si="0"/>
        <v>3.0041660239464334</v>
      </c>
    </row>
    <row r="21" spans="4:10" x14ac:dyDescent="0.25">
      <c r="I21">
        <v>1.2</v>
      </c>
      <c r="J21">
        <f t="shared" si="0"/>
        <v>3.3201169227365472</v>
      </c>
    </row>
    <row r="22" spans="4:10" x14ac:dyDescent="0.25">
      <c r="I22">
        <v>1.3</v>
      </c>
      <c r="J22">
        <f t="shared" si="0"/>
        <v>3.6692966676192444</v>
      </c>
    </row>
    <row r="23" spans="4:10" x14ac:dyDescent="0.25">
      <c r="D23">
        <f>+-25+36+16</f>
        <v>27</v>
      </c>
      <c r="I23">
        <v>1.4</v>
      </c>
      <c r="J23">
        <f t="shared" si="0"/>
        <v>4.0551999668446745</v>
      </c>
    </row>
    <row r="24" spans="4:10" x14ac:dyDescent="0.25">
      <c r="I24">
        <v>1.5</v>
      </c>
      <c r="J24">
        <f t="shared" si="0"/>
        <v>4.4816890703380645</v>
      </c>
    </row>
    <row r="25" spans="4:10" x14ac:dyDescent="0.25">
      <c r="I25">
        <v>1.6</v>
      </c>
      <c r="J25">
        <f t="shared" si="0"/>
        <v>4.9530324243951149</v>
      </c>
    </row>
    <row r="26" spans="4:10" x14ac:dyDescent="0.25">
      <c r="I26">
        <v>1.7</v>
      </c>
      <c r="J26">
        <f t="shared" si="0"/>
        <v>5.4739473917271999</v>
      </c>
    </row>
    <row r="27" spans="4:10" x14ac:dyDescent="0.25">
      <c r="I27">
        <v>1.8</v>
      </c>
      <c r="J27">
        <f t="shared" si="0"/>
        <v>6.0496474644129465</v>
      </c>
    </row>
    <row r="28" spans="4:10" x14ac:dyDescent="0.25">
      <c r="I28">
        <v>1.9</v>
      </c>
      <c r="J28">
        <f t="shared" si="0"/>
        <v>6.6858944422792685</v>
      </c>
    </row>
    <row r="29" spans="4:10" x14ac:dyDescent="0.25">
      <c r="I29">
        <v>2</v>
      </c>
      <c r="J29">
        <f t="shared" si="0"/>
        <v>7.3890560989306504</v>
      </c>
    </row>
    <row r="30" spans="4:10" x14ac:dyDescent="0.25">
      <c r="I30">
        <v>2.1</v>
      </c>
      <c r="J30">
        <f t="shared" si="0"/>
        <v>8.1661699125676517</v>
      </c>
    </row>
    <row r="31" spans="4:10" x14ac:dyDescent="0.25">
      <c r="I31">
        <v>2.2000000000000002</v>
      </c>
      <c r="J31">
        <f t="shared" si="0"/>
        <v>9.025013499434122</v>
      </c>
    </row>
    <row r="32" spans="4:10" x14ac:dyDescent="0.25">
      <c r="I32">
        <v>2.2999999999999998</v>
      </c>
      <c r="J32">
        <f t="shared" si="0"/>
        <v>9.9741824548147182</v>
      </c>
    </row>
    <row r="33" spans="9:10" x14ac:dyDescent="0.25">
      <c r="I33">
        <v>2.4</v>
      </c>
      <c r="J33">
        <f t="shared" si="0"/>
        <v>11.023176380641601</v>
      </c>
    </row>
    <row r="34" spans="9:10" x14ac:dyDescent="0.25">
      <c r="I34">
        <v>2.5</v>
      </c>
      <c r="J34">
        <f t="shared" si="0"/>
        <v>12.182493960703473</v>
      </c>
    </row>
    <row r="35" spans="9:10" x14ac:dyDescent="0.25">
      <c r="I35">
        <v>2.6</v>
      </c>
      <c r="J35">
        <f t="shared" si="0"/>
        <v>13.463738035001692</v>
      </c>
    </row>
    <row r="36" spans="9:10" x14ac:dyDescent="0.25">
      <c r="I36">
        <v>2.7</v>
      </c>
      <c r="J36">
        <f t="shared" si="0"/>
        <v>14.879731724872837</v>
      </c>
    </row>
    <row r="37" spans="9:10" x14ac:dyDescent="0.25">
      <c r="I37">
        <v>2.8</v>
      </c>
      <c r="J37">
        <f t="shared" si="0"/>
        <v>16.444646771097048</v>
      </c>
    </row>
    <row r="38" spans="9:10" x14ac:dyDescent="0.25">
      <c r="I38">
        <v>2.9</v>
      </c>
      <c r="J38">
        <f t="shared" si="0"/>
        <v>18.17414536944306</v>
      </c>
    </row>
    <row r="39" spans="9:10" x14ac:dyDescent="0.25">
      <c r="I39">
        <v>3</v>
      </c>
      <c r="J39">
        <f t="shared" si="0"/>
        <v>20.085536923187668</v>
      </c>
    </row>
    <row r="40" spans="9:10" x14ac:dyDescent="0.25">
      <c r="I40">
        <v>4</v>
      </c>
      <c r="J40">
        <f t="shared" si="0"/>
        <v>54.598150033144236</v>
      </c>
    </row>
    <row r="41" spans="9:10" x14ac:dyDescent="0.25">
      <c r="I41">
        <v>27</v>
      </c>
      <c r="J41">
        <f t="shared" si="0"/>
        <v>532048240601.79865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2026-02-06T10:22:03Z</dcterms:created>
  <dcterms:modified xsi:type="dcterms:W3CDTF">2026-02-22T12:46:43Z</dcterms:modified>
</cp:coreProperties>
</file>